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0cbdd437074c7a" /></Relationships>
</file>

<file path=xl/workbook.xml><?xml version="1.0" encoding="utf-8"?>
<x:workbook xmlns:x="http://schemas.openxmlformats.org/spreadsheetml/2006/main">
  <x:sheets>
    <x:sheet xmlns:r="http://schemas.openxmlformats.org/officeDocument/2006/relationships" name="Bat dau" sheetId="1" r:id="R8624b48844e549f4"/>
    <x:sheet xmlns:r="http://schemas.openxmlformats.org/officeDocument/2006/relationships" name="Tong quan" sheetId="2" r:id="R3c486ae6b60d4806"/>
    <x:sheet xmlns:r="http://schemas.openxmlformats.org/officeDocument/2006/relationships" name="Cong viec" sheetId="3" r:id="R73c87496ceac45c9"/>
    <x:sheet xmlns:r="http://schemas.openxmlformats.org/officeDocument/2006/relationships" name="Folder" sheetId="4" r:id="R27f86748960b4727"/>
    <x:sheet xmlns:r="http://schemas.openxmlformats.org/officeDocument/2006/relationships" name="Solution" sheetId="5" r:id="Rd2544f010cb74b83"/>
    <x:sheet xmlns:r="http://schemas.openxmlformats.org/officeDocument/2006/relationships" name="Phan cong goc" sheetId="6" r:id="Rfa1a1c98ead045c3"/>
    <x:sheet xmlns:r="http://schemas.openxmlformats.org/officeDocument/2006/relationships" name="Nguon" sheetId="7" r:id="Rb70a2e0b836842c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Arial"/>
    </x:font>
    <x:font>
      <x:sz val="10"/>
      <x:color rgb="FF203343"/>
      <x:name val="Arial"/>
    </x:font>
    <x:font>
      <x:b/>
      <x:sz val="10"/>
      <x:color rgb="FFFFFFFF"/>
      <x:name val="Arial"/>
    </x:font>
    <x:font>
      <x:sz val="10"/>
      <x:color rgb="FF0059B2"/>
      <x:name val="Arial"/>
    </x:font>
    <x:font>
      <x:sz val="10"/>
      <x:name val="Arial"/>
    </x:font>
  </x:fonts>
  <x:fills count="6">
    <x:fill>
      <x:patternFill patternType="none"/>
    </x:fill>
    <x:fill>
      <x:patternFill patternType="gray125"/>
    </x:fill>
    <x:fill>
      <x:patternFill patternType="solid">
        <x:fgColor rgb="FF183B56"/>
      </x:patternFill>
    </x:fill>
    <x:fill>
      <x:patternFill patternType="solid">
        <x:fgColor rgb="FF0B766E"/>
      </x:patternFill>
    </x:fill>
    <x:fill>
      <x:patternFill patternType="solid">
        <x:fgColor rgb="FFF3F6F8"/>
      </x:patternFill>
    </x:fill>
    <x:fill>
      <x:patternFill patternType="solid">
        <x:fgColor rgb="FFE9F4F3"/>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4"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4"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0" borderId="0"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cellXfs>
  <x:cellStyles count="1">
    <x:cellStyle name="Normal" xfId="0"/>
  </x:cellStyles>
  <x:dxfs count="3">
    <x:dxf>
      <x:font>
        <x:color rgb="FF166534"/>
      </x:font>
      <x:fill>
        <x:patternFill patternType="solid">
          <x:bgColor rgb="FFDCFCE7"/>
        </x:patternFill>
      </x:fill>
    </x:dxf>
    <x:dxf>
      <x:font>
        <x:color rgb="FF81580B"/>
      </x:font>
      <x:fill>
        <x:patternFill patternType="solid">
          <x:bgColor rgb="FFFFF4D6"/>
        </x:patternFill>
      </x:fill>
    </x:dxf>
    <x:dxf>
      <x:fill>
        <x:patternFill patternType="solid">
          <x:bgColor rgb="FFD8F0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b9bc2926ad4004" /><Relationship Type="http://schemas.openxmlformats.org/officeDocument/2006/relationships/theme" Target="/xl/theme/theme1.xml" Id="Re5d0ad7497ae4669" /><Relationship Type="http://schemas.openxmlformats.org/officeDocument/2006/relationships/sharedStrings" Target="/xl/sharedStrings.xml" Id="R956f047db4be4a8c" /><Relationship Type="http://schemas.openxmlformats.org/officeDocument/2006/relationships/worksheet" Target="/xl/worksheets/sheet1.xml" Id="R8624b48844e549f4" /><Relationship Type="http://schemas.openxmlformats.org/officeDocument/2006/relationships/worksheet" Target="/xl/worksheets/sheet2.xml" Id="R3c486ae6b60d4806" /><Relationship Type="http://schemas.openxmlformats.org/officeDocument/2006/relationships/worksheet" Target="/xl/worksheets/sheet3.xml" Id="R73c87496ceac45c9" /><Relationship Type="http://schemas.openxmlformats.org/officeDocument/2006/relationships/worksheet" Target="/xl/worksheets/sheet4.xml" Id="R27f86748960b4727" /><Relationship Type="http://schemas.openxmlformats.org/officeDocument/2006/relationships/worksheet" Target="/xl/worksheets/sheet5.xml" Id="Rd2544f010cb74b83" /><Relationship Type="http://schemas.openxmlformats.org/officeDocument/2006/relationships/worksheet" Target="/xl/worksheets/sheet6.xml" Id="Rfa1a1c98ead045c3" /><Relationship Type="http://schemas.openxmlformats.org/officeDocument/2006/relationships/worksheet" Target="/xl/worksheets/sheet7.xml" Id="Rb70a2e0b836842c0" /></Relationships>
</file>

<file path=xl/tables/table1.xml><?xml version="1.0" encoding="utf-8"?>
<x:table xmlns:x="http://schemas.openxmlformats.org/spreadsheetml/2006/main" id="1" name="GuideTable" displayName="GuideTable" ref="A4:D12" headerRowCount="1" totalsRowCount="0" totalsRowShown="0">
  <x:tableColumns count="4">
    <x:tableColumn id="1" name="Bước"/>
    <x:tableColumn id="2" name="Cách dùng"/>
    <x:tableColumn id="3" name="Thực hiện"/>
    <x:tableColumn id="4" name="Lưu ý"/>
  </x:tableColumns>
  <x:tableStyleInfo name="TableStyleMedium2" showFirstColumn="0" showLastColumn="0" showRowStripes="1" showColumnStripes="0"/>
</x:table>
</file>

<file path=xl/tables/table2.xml><?xml version="1.0" encoding="utf-8"?>
<x:table xmlns:x="http://schemas.openxmlformats.org/spreadsheetml/2006/main" id="3" name="OverviewTable" displayName="OverviewTable" ref="A4:H9" headerRowCount="1" totalsRowCount="0" totalsRowShown="0">
  <x:tableColumns count="8">
    <x:tableColumn id="1" name="Phase"/>
    <x:tableColumn id="2" name="Tên phase"/>
    <x:tableColumn id="3" name="Tổng task"/>
    <x:tableColumn id="4" name="Đã bàn giao"/>
    <x:tableColumn id="5" name="Tỷ lệ"/>
    <x:tableColumn id="6" name="Mốc ra"/>
    <x:tableColumn id="7" name="Thứ tự vận hành"/>
    <x:tableColumn id="8" name="Chi tiết"/>
  </x:tableColumns>
  <x:tableStyleInfo name="TableStyleMedium2" showFirstColumn="0" showLastColumn="0" showRowStripes="1" showColumnStripes="0"/>
</x:table>
</file>

<file path=xl/tables/table3.xml><?xml version="1.0" encoding="utf-8"?>
<x:table xmlns:x="http://schemas.openxmlformats.org/spreadsheetml/2006/main" id="2" name="TaskTable" displayName="TaskTable" ref="A4:M49" headerRowCount="1" totalsRowCount="0" totalsRowShown="0">
  <x:tableColumns count="13">
    <x:tableColumn id="1" name="Mã"/>
    <x:tableColumn id="2" name="Phase"/>
    <x:tableColumn id="3" name="Đợt"/>
    <x:tableColumn id="4" name="TV"/>
    <x:tableColumn id="5" name="Folder"/>
    <x:tableColumn id="6" name="Việc thực hiện"/>
    <x:tableColumn id="7" name="Chờ task"/>
    <x:tableColumn id="8" name="Bàn giao mở việc tiếp"/>
    <x:tableColumn id="9" name="Kiểm thử / hoàn thành"/>
    <x:tableColumn id="10" name="Trạng thái"/>
    <x:tableColumn id="11" name="Có thể bắt đầu"/>
    <x:tableColumn id="12" name="PR / commit / ghi chú"/>
    <x:tableColumn id="13" name="Căn cứ"/>
  </x:tableColumns>
  <x:tableStyleInfo name="TableStyleMedium2" showFirstColumn="0" showLastColumn="0" showRowStripes="1" showColumnStripes="0"/>
</x:table>
</file>

<file path=xl/tables/table4.xml><?xml version="1.0" encoding="utf-8"?>
<x:table xmlns:x="http://schemas.openxmlformats.org/spreadsheetml/2006/main" id="4" name="FolderTable" displayName="FolderTable" ref="A4:F10" headerRowCount="1" totalsRowCount="0" totalsRowShown="0">
  <x:tableColumns count="6">
    <x:tableColumn id="1" name="TV"/>
    <x:tableColumn id="2" name="Vai trò"/>
    <x:tableColumn id="3" name="Folder / file"/>
    <x:tableColumn id="4" name="Được sửa"/>
    <x:tableColumn id="5" name="Không sửa / ranh giới"/>
    <x:tableColumn id="6" name="Loại module"/>
  </x:tableColumns>
  <x:tableStyleInfo name="TableStyleMedium2" showFirstColumn="0" showLastColumn="0" showRowStripes="1" showColumnStripes="0"/>
</x:table>
</file>

<file path=xl/tables/table5.xml><?xml version="1.0" encoding="utf-8"?>
<x:table xmlns:x="http://schemas.openxmlformats.org/spreadsheetml/2006/main" id="5" name="SolutionTable" displayName="SolutionTable" ref="A4:D20" headerRowCount="1" totalsRowCount="0" totalsRowShown="0">
  <x:tableColumns count="4">
    <x:tableColumn id="1" name="Hạng mục"/>
    <x:tableColumn id="2" name="Giải pháp dùng trong bản này"/>
    <x:tableColumn id="3" name="Nguồn / cơ sở"/>
    <x:tableColumn id="4" name="Loại"/>
  </x:tableColumns>
  <x:tableStyleInfo name="TableStyleMedium2" showFirstColumn="0" showLastColumn="0" showRowStripes="1" showColumnStripes="0"/>
</x:table>
</file>

<file path=xl/tables/table6.xml><?xml version="1.0" encoding="utf-8"?>
<x:table xmlns:x="http://schemas.openxmlformats.org/spreadsheetml/2006/main" id="6" name="OriginalRoles" displayName="OriginalRoles" ref="A4:B9" headerRowCount="1" totalsRowCount="0" totalsRowShown="0">
  <x:tableColumns count="2">
    <x:tableColumn id="1" name="Thành viên"/>
    <x:tableColumn id="2" name="Nội dung công việc gốc"/>
  </x:tableColumns>
  <x:tableStyleInfo name="TableStyleMedium2" showFirstColumn="0" showLastColumn="0" showRowStripes="1" showColumnStripes="0"/>
</x:table>
</file>

<file path=xl/tables/table7.xml><?xml version="1.0" encoding="utf-8"?>
<x:table xmlns:x="http://schemas.openxmlformats.org/spreadsheetml/2006/main" id="7" name="SourceTable" displayName="SourceTable" ref="A4:F15" headerRowCount="1" totalsRowCount="0" totalsRowShown="0">
  <x:tableColumns count="6">
    <x:tableColumn id="1" name="Mã"/>
    <x:tableColumn id="2" name="Nguồn"/>
    <x:tableColumn id="3" name="File / URL"/>
    <x:tableColumn id="4" name="Phần sử dụng"/>
    <x:tableColumn id="5" name="Căn cứ"/>
    <x:tableColumn id="6" name="Giới hạ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adbd5beb7624013" /></Relationships>
</file>

<file path=xl/worksheets/_rels/sheet2.xml.rels>&#65279;<?xml version="1.0" encoding="utf-8"?><Relationships xmlns="http://schemas.openxmlformats.org/package/2006/relationships"><Relationship Type="http://schemas.openxmlformats.org/officeDocument/2006/relationships/table" Target="/xl/tables/table2.xml" Id="R06e592c543f346f8" /></Relationships>
</file>

<file path=xl/worksheets/_rels/sheet3.xml.rels>&#65279;<?xml version="1.0" encoding="utf-8"?><Relationships xmlns="http://schemas.openxmlformats.org/package/2006/relationships"><Relationship Type="http://schemas.openxmlformats.org/officeDocument/2006/relationships/table" Target="/xl/tables/table3.xml" Id="Rd9140bb8f48c4ff1" /></Relationships>
</file>

<file path=xl/worksheets/_rels/sheet4.xml.rels>&#65279;<?xml version="1.0" encoding="utf-8"?><Relationships xmlns="http://schemas.openxmlformats.org/package/2006/relationships"><Relationship Type="http://schemas.openxmlformats.org/officeDocument/2006/relationships/table" Target="/xl/tables/table4.xml" Id="Rc60b482d82d24034" /></Relationships>
</file>

<file path=xl/worksheets/_rels/sheet5.xml.rels>&#65279;<?xml version="1.0" encoding="utf-8"?><Relationships xmlns="http://schemas.openxmlformats.org/package/2006/relationships"><Relationship Type="http://schemas.openxmlformats.org/officeDocument/2006/relationships/table" Target="/xl/tables/table5.xml" Id="R58b7651298264ee5" /></Relationships>
</file>

<file path=xl/worksheets/_rels/sheet6.xml.rels>&#65279;<?xml version="1.0" encoding="utf-8"?><Relationships xmlns="http://schemas.openxmlformats.org/package/2006/relationships"><Relationship Type="http://schemas.openxmlformats.org/officeDocument/2006/relationships/table" Target="/xl/tables/table6.xml" Id="R37ef14269cc543fc" /></Relationships>
</file>

<file path=xl/worksheets/_rels/sheet7.xml.rels>&#65279;<?xml version="1.0" encoding="utf-8"?><Relationships xmlns="http://schemas.openxmlformats.org/package/2006/relationships"><Relationship Type="http://schemas.openxmlformats.org/officeDocument/2006/relationships/table" Target="/xl/tables/table7.xml" Id="Re41b40fe59494152" /></Relationships>
</file>

<file path=xl/worksheets/sheet1.xml><?xml version="1.0" encoding="utf-8"?>
<x:worksheet xmlns:x="http://schemas.openxmlformats.org/spreadsheetml/2006/main">
  <x:sheetFormatPr defaultRowHeight="15"/>
  <x:cols>
    <x:col min="1" max="1" width="8" hidden="0" customWidth="1"/>
    <x:col min="2" max="2" width="25" hidden="0" customWidth="1"/>
    <x:col min="3" max="3" width="40" hidden="0" customWidth="1"/>
    <x:col min="4" max="4" width="38" hidden="0" customWidth="1"/>
  </x:cols>
  <x:sheetData>
    <x:row r="1" ht="32" customHeight="1">
      <x:c r="A1" s="4" t="str">
        <x:v>HAUI ADVISOR | BẢN THỰC THI</x:v>
      </x:c>
      <x:c r="B1" s="4"/>
      <x:c r="C1" s="4"/>
      <x:c r="D1" s="4"/>
    </x:row>
    <x:row r="2" ht="34" customHeight="1">
      <x:c r="A2" s="10" t="str">
        <x:v>5 phase • 45 đầu việc • 1 role Sinh viên • mỗi thành viên một vùng code</x:v>
      </x:c>
      <x:c r="B2" s="10"/>
      <x:c r="C2" s="10"/>
      <x:c r="D2" s="10"/>
    </x:row>
    <x:row r="4" ht="30" customHeight="1">
      <x:c r="A4" s="18" t="str">
        <x:v>Bước</x:v>
      </x:c>
      <x:c r="B4" s="18" t="str">
        <x:v>Cách dùng</x:v>
      </x:c>
      <x:c r="C4" s="18" t="str">
        <x:v>Thực hiện</x:v>
      </x:c>
      <x:c r="D4" s="18" t="str">
        <x:v>Lưu ý</x:v>
      </x:c>
    </x:row>
    <x:row r="5" ht="51" customHeight="1">
      <x:c r="A5" s="14" t="str">
        <x:v>01</x:v>
      </x:c>
      <x:c r="B5" s="14" t="str">
        <x:v>Đọc theo cột Chờ</x:v>
      </x:c>
      <x:c r="C5" s="14" t="str">
        <x:v>Mã task ở trên là đầu vào của task phía dưới. Chỉ chờ những mã được ghi; không mặc nhiên chờ mọi dòng bên trên.</x:v>
      </x:c>
      <x:c r="D5" s="14" t="str">
        <x:v>Đủ đầu vào = được bắt đầu sau khi cập nhật đúng commit.</x:v>
      </x:c>
    </x:row>
    <x:row r="6" ht="64" customHeight="1">
      <x:c r="A6" s="22" t="str">
        <x:v>02</x:v>
      </x:c>
      <x:c r="B6" s="22" t="str">
        <x:v>Chạy song song</x:v>
      </x:c>
      <x:c r="C6" s="22" t="str">
        <x:v>Các task cùng đợt và khác folder có thể cùng chạy. Một thành viên chỉ có một agent ghi trong folder tại một thời điểm.</x:v>
      </x:c>
      <x:c r="D6" s="22" t="str">
        <x:v>Đủ đầu vào không có nghĩa được chạy hai agent cùng folder.</x:v>
      </x:c>
    </x:row>
    <x:row r="7" ht="64" customHeight="1">
      <x:c r="A7" s="14" t="str">
        <x:v>03</x:v>
      </x:c>
      <x:c r="B7" s="14" t="str">
        <x:v>Quyền ghi file chung</x:v>
      </x:c>
      <x:c r="C7" s="14" t="str">
        <x:v>TV5 giữ root build, lockfiles, .github, AGENTS, contracts và migration. Chỉ được scaffold folder khác một lần ở task 1.2.</x:v>
      </x:c>
      <x:c r="D7" s="14" t="str">
        <x:v>Sau 1.2, sửa đúng folder; PR liên quan phải có người sử dụng review.</x:v>
      </x:c>
    </x:row>
    <x:row r="8" ht="51" customHeight="1">
      <x:c r="A8" s="22" t="str">
        <x:v>04</x:v>
      </x:c>
      <x:c r="B8" s="22" t="str">
        <x:v>Tích hợp sớm</x:v>
      </x:c>
      <x:c r="C8" s="22" t="str">
        <x:v>Phase 4 mở từng nhánh ngay khi các đầu vào đã bàn giao; không cần chờ mọi task Phase 3.</x:v>
      </x:c>
      <x:c r="D8" s="22" t="str">
        <x:v>Bảng Chờ đã thể hiện các nhánh này.</x:v>
      </x:c>
    </x:row>
    <x:row r="9" ht="51" customHeight="1">
      <x:c r="A9" s="14" t="str">
        <x:v>05</x:v>
      </x:c>
      <x:c r="B9" s="14" t="str">
        <x:v>Đã bàn giao</x:v>
      </x:c>
      <x:c r="C9" s="14" t="str">
        <x:v>Chỉ chọn khi PR/artifact đã merge, test thuộc phạm vi đã chạy, có hướng dẫn gọi và phần còn mock rõ ràng.</x:v>
      </x:c>
      <x:c r="D9" s="14" t="str">
        <x:v>Ô trạng thái ban đầu là Chưa cập nhật; không suy đoán tiến độ hiện tại.</x:v>
      </x:c>
    </x:row>
    <x:row r="10" ht="51" customHeight="1">
      <x:c r="A10" s="22" t="str">
        <x:v>06</x:v>
      </x:c>
      <x:c r="B10" s="22" t="str">
        <x:v>Theo dõi</x:v>
      </x:c>
      <x:c r="C10" s="22" t="str">
        <x:v>Lọc Cong viec theo TV hoặc Phase. Cột Có thể bắt đầu được tính từ trạng thái của các task phụ thuộc.</x:v>
      </x:c>
      <x:c r="D10" s="22" t="str">
        <x:v>Cập nhật PR/commit, không báo chung chung xong rồi.</x:v>
      </x:c>
    </x:row>
    <x:row r="11" ht="64" customHeight="1">
      <x:c r="A11" s="14" t="str">
        <x:v>07</x:v>
      </x:c>
      <x:c r="B11" s="14" t="str">
        <x:v>Phạm vi nguồn</x:v>
      </x:c>
      <x:c r="C11" s="14" t="str">
        <x:v>Giữ chức năng/role từ workbook, PRD và UI Flow. Solution folder, stack cụ thể và hành vi lưu/version là phần bổ sung của bản này.</x:v>
      </x:c>
      <x:c r="D11" s="14" t="str">
        <x:v>BR trong PRD chưa được xác minh là quy chế chính thức.</x:v>
      </x:c>
    </x:row>
    <x:row r="12" ht="51" customHeight="1">
      <x:c r="A12" s="22" t="str">
        <x:v>08</x:v>
      </x:c>
      <x:c r="B12" s="22" t="str">
        <x:v>Prompt</x:v>
      </x:c>
      <x:c r="C12" s="22" t="str">
        <x:v>Mở file HaUI_Advisor_Solution_va_Prompt_theo_Phase.md; dùng prompt tiền tố + đúng một task cho agent.</x:v>
      </x:c>
      <x:c r="D12" s="22" t="str">
        <x:v>Không đưa cả 5 role vào một agent tự sửa toàn repo.</x:v>
      </x:c>
    </x:row>
  </x:sheetData>
  <x:mergeCells>
    <x:mergeCell ref="A1:D1"/>
    <x:mergeCell ref="A2:D2"/>
  </x:mergeCells>
  <x:pageMargins left="0.7" right="0.7" top="0.75" bottom="0.75" header="0.3" footer="0.3"/>
  <x:tableParts count="1">
    <x:tablePart xmlns:r="http://schemas.openxmlformats.org/officeDocument/2006/relationships" r:id="Rbadbd5beb7624013"/>
  </x:tableParts>
</x:worksheet>
</file>

<file path=xl/worksheets/sheet2.xml><?xml version="1.0" encoding="utf-8"?>
<x:worksheet xmlns:x="http://schemas.openxmlformats.org/spreadsheetml/2006/main">
  <x:sheetFormatPr defaultRowHeight="15"/>
  <x:cols>
    <x:col min="1" max="1" width="8" hidden="0" customWidth="1"/>
    <x:col min="2" max="2" width="35" hidden="0" customWidth="1"/>
    <x:col min="3" max="3" width="12" hidden="0" customWidth="1"/>
    <x:col min="4" max="4" width="15" hidden="0" customWidth="1"/>
    <x:col min="5" max="5" width="12" hidden="0" customWidth="1"/>
    <x:col min="6" max="6" width="28" hidden="0" customWidth="1"/>
    <x:col min="7" max="7" width="40" hidden="0" customWidth="1"/>
    <x:col min="8" max="8" width="25" hidden="0" customWidth="1"/>
  </x:cols>
  <x:sheetData>
    <x:row r="1" ht="32" customHeight="1">
      <x:c r="A1" s="4" t="str">
        <x:v>TỔNG QUAN TIẾN ĐỘ</x:v>
      </x:c>
      <x:c r="B1" s="4"/>
      <x:c r="C1" s="4"/>
      <x:c r="D1" s="4"/>
      <x:c r="E1" s="4"/>
      <x:c r="F1" s="4"/>
      <x:c r="G1" s="4"/>
      <x:c r="H1" s="4"/>
    </x:row>
    <x:row r="2" ht="34" customHeight="1">
      <x:c r="A2" s="10" t="str">
        <x:v>Số lượng task là kế hoạch. Tỷ lệ hoàn thành chỉ tăng khi trạng thái được cập nhật thành Đã bàn giao.</x:v>
      </x:c>
      <x:c r="B2" s="10"/>
      <x:c r="C2" s="10"/>
      <x:c r="D2" s="10"/>
      <x:c r="E2" s="10"/>
      <x:c r="F2" s="10"/>
      <x:c r="G2" s="10"/>
      <x:c r="H2" s="10"/>
    </x:row>
    <x:row r="4" ht="30" customHeight="1">
      <x:c r="A4" s="18" t="str">
        <x:v>Phase</x:v>
      </x:c>
      <x:c r="B4" s="18" t="str">
        <x:v>Tên phase</x:v>
      </x:c>
      <x:c r="C4" s="18" t="str">
        <x:v>Tổng task</x:v>
      </x:c>
      <x:c r="D4" s="18" t="str">
        <x:v>Đã bàn giao</x:v>
      </x:c>
      <x:c r="E4" s="18" t="str">
        <x:v>Tỷ lệ</x:v>
      </x:c>
      <x:c r="F4" s="18" t="str">
        <x:v>Mốc ra</x:v>
      </x:c>
      <x:c r="G4" s="18" t="str">
        <x:v>Thứ tự vận hành</x:v>
      </x:c>
      <x:c r="H4" s="18" t="str">
        <x:v>Chi tiết</x:v>
      </x:c>
    </x:row>
    <x:row r="5" ht="38" customHeight="1">
      <x:c r="A5" s="14" t="n">
        <x:v>1</x:v>
      </x:c>
      <x:c r="B5" s="14" t="str">
        <x:v>Khởi tạo nền tảng chung</x:v>
      </x:c>
      <x:c r="C5" s="14" t="n">
        <x:f>COUNTIF('Cong viec'!$B$5:$B$49,A5)</x:f>
        <x:v>7</x:v>
      </x:c>
      <x:c r="D5" s="14" t="n">
        <x:f>COUNTIFS('Cong viec'!$B$5:$B$49,A5,'Cong viec'!$J$5:$J$49,"Đã bàn giao")</x:f>
        <x:v>0</x:v>
      </x:c>
      <x:c r="E5" s="28" t="n">
        <x:f>IF(C5=0,0,D5/C5)</x:f>
        <x:v>0</x:v>
      </x:c>
      <x:c r="F5" s="14" t="str">
        <x:v>base-v1</x:v>
      </x:c>
      <x:c r="G5" s="14" t="str">
        <x:v>TV1 → TV5 → TV2/TV4/TV1 → TV3 → TV5</x:v>
      </x:c>
      <x:c r="H5" s="14" t="str">
        <x:v>Xem cột Chờ trong Cong viec</x:v>
      </x:c>
    </x:row>
    <x:row r="6" ht="51" customHeight="1">
      <x:c r="A6" s="22" t="n">
        <x:v>2</x:v>
      </x:c>
      <x:c r="B6" s="22" t="str">
        <x:v>Prototype và contract V1</x:v>
      </x:c>
      <x:c r="C6" s="22" t="n">
        <x:f>COUNTIF('Cong viec'!$B$5:$B$49,A6)</x:f>
        <x:v>8</x:v>
      </x:c>
      <x:c r="D6" s="22" t="n">
        <x:f>COUNTIFS('Cong viec'!$B$5:$B$49,A6,'Cong viec'!$J$5:$J$49,"Đã bàn giao")</x:f>
        <x:v>0</x:v>
      </x:c>
      <x:c r="E6" s="29" t="n">
        <x:f>IF(C6=0,0,D6/C6)</x:f>
        <x:v>0</x:v>
      </x:c>
      <x:c r="F6" s="22" t="str">
        <x:v>contracts-v1 + flow-approved-v1</x:v>
      </x:c>
      <x:c r="G6" s="22" t="str">
        <x:v>TV2 dựng khung; TV1/TV4/TV5 làm cùng lúc; hai FE dựng → TV1 duyệt → TV5 khóa contract</x:v>
      </x:c>
      <x:c r="H6" s="22" t="str">
        <x:v>Xem cột Chờ trong Cong viec</x:v>
      </x:c>
    </x:row>
    <x:row r="7" ht="38" customHeight="1">
      <x:c r="A7" s="14" t="n">
        <x:v>3</x:v>
      </x:c>
      <x:c r="B7" s="14" t="str">
        <x:v>Code độc lập, bàn giao từng phần</x:v>
      </x:c>
      <x:c r="C7" s="14" t="n">
        <x:f>COUNTIF('Cong viec'!$B$5:$B$49,A7)</x:f>
        <x:v>12</x:v>
      </x:c>
      <x:c r="D7" s="14" t="n">
        <x:f>COUNTIFS('Cong viec'!$B$5:$B$49,A7,'Cong viec'!$J$5:$J$49,"Đã bàn giao")</x:f>
        <x:v>0</x:v>
      </x:c>
      <x:c r="E7" s="28" t="n">
        <x:f>IF(C7=0,0,D7/C7)</x:f>
        <x:v>0</x:v>
      </x:c>
      <x:c r="F7" s="14" t="str">
        <x:v>Các module độc lập có test</x:v>
      </x:c>
      <x:c r="G7" s="14" t="str">
        <x:v>5 hàng làm song song; bên trong mỗi folder làm theo task</x:v>
      </x:c>
      <x:c r="H7" s="14" t="str">
        <x:v>Xem cột Chờ trong Cong viec</x:v>
      </x:c>
    </x:row>
    <x:row r="8" ht="38" customHeight="1">
      <x:c r="A8" s="22" t="n">
        <x:v>4</x:v>
      </x:c>
      <x:c r="B8" s="22" t="str">
        <x:v>Nối thật và kiểm thử luồng</x:v>
      </x:c>
      <x:c r="C8" s="22" t="n">
        <x:f>COUNTIF('Cong viec'!$B$5:$B$49,A8)</x:f>
        <x:v>10</x:v>
      </x:c>
      <x:c r="D8" s="22" t="n">
        <x:f>COUNTIFS('Cong viec'!$B$5:$B$49,A8,'Cong viec'!$J$5:$J$49,"Đã bàn giao")</x:f>
        <x:v>0</x:v>
      </x:c>
      <x:c r="E8" s="29" t="n">
        <x:f>IF(C8=0,0,D8/C8)</x:f>
        <x:v>0</x:v>
      </x:c>
      <x:c r="F8" s="22" t="str">
        <x:v>Release candidate đã E2E</x:v>
      </x:c>
      <x:c r="G8" s="22" t="str">
        <x:v>Tools + DB → API thật → FE/AI → Chat/What-if/Audit → E2E</x:v>
      </x:c>
      <x:c r="H8" s="22" t="str">
        <x:v>Xem cột Chờ trong Cong viec</x:v>
      </x:c>
    </x:row>
    <x:row r="9" ht="38" customHeight="1">
      <x:c r="A9" s="14" t="n">
        <x:v>5</x:v>
      </x:c>
      <x:c r="B9" s="14" t="str">
        <x:v>Triển khai, báo cáo và bàn giao</x:v>
      </x:c>
      <x:c r="C9" s="14" t="n">
        <x:f>COUNTIF('Cong viec'!$B$5:$B$49,A9)</x:f>
        <x:v>8</x:v>
      </x:c>
      <x:c r="D9" s="14" t="n">
        <x:f>COUNTIFS('Cong viec'!$B$5:$B$49,A9,'Cong viec'!$J$5:$J$49,"Đã bàn giao")</x:f>
        <x:v>0</x:v>
      </x:c>
      <x:c r="E9" s="28" t="n">
        <x:f>IF(C9=0,0,D9/C9)</x:f>
        <x:v>0</x:v>
      </x:c>
      <x:c r="F9" s="14" t="str">
        <x:v>Release tag + báo cáo + URL</x:v>
      </x:c>
      <x:c r="G9" s="14" t="str">
        <x:v>TV5 deploy → 4 người smoke/báo cáo → TV2 hợp nhất → TV1 duyệt → TV5 tag</x:v>
      </x:c>
      <x:c r="H9" s="14" t="str">
        <x:v>Xem cột Chờ trong Cong viec</x:v>
      </x:c>
    </x:row>
    <x:row r="12" ht="26" customHeight="1">
      <x:c r="A12" s="33" t="str">
        <x:v>TV</x:v>
      </x:c>
      <x:c r="B12" s="33" t="str">
        <x:v>Vai trò</x:v>
      </x:c>
      <x:c r="C12" s="33" t="str">
        <x:v>P1</x:v>
      </x:c>
      <x:c r="D12" s="33" t="str">
        <x:v>P2</x:v>
      </x:c>
      <x:c r="E12" s="33" t="str">
        <x:v>P3</x:v>
      </x:c>
      <x:c r="F12" s="33" t="str">
        <x:v>P4</x:v>
      </x:c>
      <x:c r="G12" s="33" t="str">
        <x:v>P5</x:v>
      </x:c>
      <x:c r="H12" s="33" t="str">
        <x:v>Tổng</x:v>
      </x:c>
    </x:row>
    <x:row r="13" ht="32" customHeight="1">
      <x:c r="A13" s="10" t="str">
        <x:v>TV1</x:v>
      </x:c>
      <x:c r="B13" s="10" t="str">
        <x:v>Lead + AI</x:v>
      </x:c>
      <x:c r="C13" s="36" t="n">
        <x:f>COUNTIFS('Cong viec'!$D$5:$D$49,A13,'Cong viec'!$B$5:$B$49,1)</x:f>
        <x:v>2</x:v>
      </x:c>
      <x:c r="D13" s="36" t="n">
        <x:f>COUNTIFS('Cong viec'!$D$5:$D$49,A13,'Cong viec'!$B$5:$B$49,2)</x:f>
        <x:v>2</x:v>
      </x:c>
      <x:c r="E13" s="36" t="n">
        <x:f>COUNTIFS('Cong viec'!$D$5:$D$49,A13,'Cong viec'!$B$5:$B$49,3)</x:f>
        <x:v>2</x:v>
      </x:c>
      <x:c r="F13" s="36" t="n">
        <x:f>COUNTIFS('Cong viec'!$D$5:$D$49,A13,'Cong viec'!$B$5:$B$49,4)</x:f>
        <x:v>2</x:v>
      </x:c>
      <x:c r="G13" s="36" t="n">
        <x:f>COUNTIFS('Cong viec'!$D$5:$D$49,A13,'Cong viec'!$B$5:$B$49,5)</x:f>
        <x:v>2</x:v>
      </x:c>
      <x:c r="H13" s="36" t="n">
        <x:f>SUM(C13:G13)</x:f>
        <x:v>10</x:v>
      </x:c>
    </x:row>
    <x:row r="14" ht="32" customHeight="1">
      <x:c r="A14" s="10" t="str">
        <x:v>TV2</x:v>
      </x:c>
      <x:c r="B14" s="10" t="str">
        <x:v>FE nền tảng/học vụ</x:v>
      </x:c>
      <x:c r="C14" s="36" t="n">
        <x:f>COUNTIFS('Cong viec'!$D$5:$D$49,A14,'Cong viec'!$B$5:$B$49,1)</x:f>
        <x:v>1</x:v>
      </x:c>
      <x:c r="D14" s="36" t="n">
        <x:f>COUNTIFS('Cong viec'!$D$5:$D$49,A14,'Cong viec'!$B$5:$B$49,2)</x:f>
        <x:v>2</x:v>
      </x:c>
      <x:c r="E14" s="36" t="n">
        <x:f>COUNTIFS('Cong viec'!$D$5:$D$49,A14,'Cong viec'!$B$5:$B$49,3)</x:f>
        <x:v>2</x:v>
      </x:c>
      <x:c r="F14" s="36" t="n">
        <x:f>COUNTIFS('Cong viec'!$D$5:$D$49,A14,'Cong viec'!$B$5:$B$49,4)</x:f>
        <x:v>2</x:v>
      </x:c>
      <x:c r="G14" s="36" t="n">
        <x:f>COUNTIFS('Cong viec'!$D$5:$D$49,A14,'Cong viec'!$B$5:$B$49,5)</x:f>
        <x:v>2</x:v>
      </x:c>
      <x:c r="H14" s="36" t="n">
        <x:f>SUM(C14:G14)</x:f>
        <x:v>9</x:v>
      </x:c>
    </x:row>
    <x:row r="15" ht="32" customHeight="1">
      <x:c r="A15" s="10" t="str">
        <x:v>TV3</x:v>
      </x:c>
      <x:c r="B15" s="10" t="str">
        <x:v>FE kế hoạch/AI</x:v>
      </x:c>
      <x:c r="C15" s="36" t="n">
        <x:f>COUNTIFS('Cong viec'!$D$5:$D$49,A15,'Cong viec'!$B$5:$B$49,1)</x:f>
        <x:v>1</x:v>
      </x:c>
      <x:c r="D15" s="36" t="n">
        <x:f>COUNTIFS('Cong viec'!$D$5:$D$49,A15,'Cong viec'!$B$5:$B$49,2)</x:f>
        <x:v>1</x:v>
      </x:c>
      <x:c r="E15" s="36" t="n">
        <x:f>COUNTIFS('Cong viec'!$D$5:$D$49,A15,'Cong viec'!$B$5:$B$49,3)</x:f>
        <x:v>3</x:v>
      </x:c>
      <x:c r="F15" s="36" t="n">
        <x:f>COUNTIFS('Cong viec'!$D$5:$D$49,A15,'Cong viec'!$B$5:$B$49,4)</x:f>
        <x:v>2</x:v>
      </x:c>
      <x:c r="G15" s="36" t="n">
        <x:f>COUNTIFS('Cong viec'!$D$5:$D$49,A15,'Cong viec'!$B$5:$B$49,5)</x:f>
        <x:v>1</x:v>
      </x:c>
      <x:c r="H15" s="36" t="n">
        <x:f>SUM(C15:G15)</x:f>
        <x:v>8</x:v>
      </x:c>
    </x:row>
    <x:row r="16" ht="32" customHeight="1">
      <x:c r="A16" s="10" t="str">
        <x:v>TV4</x:v>
      </x:c>
      <x:c r="B16" s="10" t="str">
        <x:v>Academic/Recommendation Tools</x:v>
      </x:c>
      <x:c r="C16" s="36" t="n">
        <x:f>COUNTIFS('Cong viec'!$D$5:$D$49,A16,'Cong viec'!$B$5:$B$49,1)</x:f>
        <x:v>1</x:v>
      </x:c>
      <x:c r="D16" s="36" t="n">
        <x:f>COUNTIFS('Cong viec'!$D$5:$D$49,A16,'Cong viec'!$B$5:$B$49,2)</x:f>
        <x:v>1</x:v>
      </x:c>
      <x:c r="E16" s="36" t="n">
        <x:f>COUNTIFS('Cong viec'!$D$5:$D$49,A16,'Cong viec'!$B$5:$B$49,3)</x:f>
        <x:v>3</x:v>
      </x:c>
      <x:c r="F16" s="36" t="n">
        <x:f>COUNTIFS('Cong viec'!$D$5:$D$49,A16,'Cong viec'!$B$5:$B$49,4)</x:f>
        <x:v>1</x:v>
      </x:c>
      <x:c r="G16" s="36" t="n">
        <x:f>COUNTIFS('Cong viec'!$D$5:$D$49,A16,'Cong viec'!$B$5:$B$49,5)</x:f>
        <x:v>1</x:v>
      </x:c>
      <x:c r="H16" s="36" t="n">
        <x:f>SUM(C16:G16)</x:f>
        <x:v>7</x:v>
      </x:c>
    </x:row>
    <x:row r="17" ht="32" customHeight="1">
      <x:c r="A17" s="10" t="str">
        <x:v>TV5</x:v>
      </x:c>
      <x:c r="B17" s="10" t="str">
        <x:v>Backend/DB/DevOps</x:v>
      </x:c>
      <x:c r="C17" s="36" t="n">
        <x:f>COUNTIFS('Cong viec'!$D$5:$D$49,A17,'Cong viec'!$B$5:$B$49,1)</x:f>
        <x:v>2</x:v>
      </x:c>
      <x:c r="D17" s="36" t="n">
        <x:f>COUNTIFS('Cong viec'!$D$5:$D$49,A17,'Cong viec'!$B$5:$B$49,2)</x:f>
        <x:v>2</x:v>
      </x:c>
      <x:c r="E17" s="36" t="n">
        <x:f>COUNTIFS('Cong viec'!$D$5:$D$49,A17,'Cong viec'!$B$5:$B$49,3)</x:f>
        <x:v>2</x:v>
      </x:c>
      <x:c r="F17" s="36" t="n">
        <x:f>COUNTIFS('Cong viec'!$D$5:$D$49,A17,'Cong viec'!$B$5:$B$49,4)</x:f>
        <x:v>3</x:v>
      </x:c>
      <x:c r="G17" s="36" t="n">
        <x:f>COUNTIFS('Cong viec'!$D$5:$D$49,A17,'Cong viec'!$B$5:$B$49,5)</x:f>
        <x:v>2</x:v>
      </x:c>
      <x:c r="H17" s="36" t="n">
        <x:f>SUM(C17:G17)</x:f>
        <x:v>11</x:v>
      </x:c>
    </x:row>
    <x:row r="19" ht="24" customHeight="1">
      <x:c r="A19" s="41" t="str">
        <x:v>Mỗi task có kích thước khác nhau: bảng đếm dùng theo dõi tiến độ, không dùng quy đổi % đóng góp. Không có ngày công hoặc deadline giả định.</x:v>
      </x:c>
      <x:c r="B19" s="41"/>
      <x:c r="C19" s="41"/>
      <x:c r="D19" s="41"/>
      <x:c r="E19" s="41"/>
      <x:c r="F19" s="41"/>
      <x:c r="G19" s="41"/>
      <x:c r="H19" s="41"/>
    </x:row>
    <x:row r="20" ht="24" customHeight="1">
      <x:c r="A20" s="41"/>
      <x:c r="B20" s="41"/>
      <x:c r="C20" s="41"/>
      <x:c r="D20" s="41"/>
      <x:c r="E20" s="41"/>
      <x:c r="F20" s="41"/>
      <x:c r="G20" s="41"/>
      <x:c r="H20" s="41"/>
    </x:row>
  </x:sheetData>
  <x:mergeCells>
    <x:mergeCell ref="A1:H1"/>
    <x:mergeCell ref="A2:H2"/>
    <x:mergeCell ref="A19:H20"/>
  </x:mergeCells>
  <x:conditionalFormatting sqref="E5:E9">
    <x:cfRule type="dataBar" priority="1">
      <x:dataBar>
        <x:cfvo type="min"/>
        <x:cfvo type="max"/>
        <x:color rgb="FF0B766E"/>
      </x:dataBar>
    </x:cfRule>
  </x:conditionalFormatting>
  <x:pageMargins left="0.7" right="0.7" top="0.75" bottom="0.75" header="0.3" footer="0.3"/>
  <x:tableParts count="1">
    <x:tablePart xmlns:r="http://schemas.openxmlformats.org/officeDocument/2006/relationships" r:id="R06e592c543f346f8"/>
  </x:tableParts>
</x:worksheet>
</file>

<file path=xl/worksheets/sheet3.xml><?xml version="1.0" encoding="utf-8"?>
<x:worksheet xmlns:x="http://schemas.openxmlformats.org/spreadsheetml/2006/main">
  <x:sheetFormatPr defaultRowHeight="15"/>
  <x:cols>
    <x:col min="1" max="1" width="10" hidden="0" customWidth="1"/>
    <x:col min="2" max="2" width="8" hidden="0" customWidth="1"/>
    <x:col min="3" max="3" width="24" hidden="0" customWidth="1"/>
    <x:col min="4" max="4" width="8" hidden="0" customWidth="1"/>
    <x:col min="5" max="5" width="25" hidden="0" customWidth="1"/>
    <x:col min="6" max="6" width="40" hidden="0" customWidth="1"/>
    <x:col min="7" max="7" width="23" hidden="0" customWidth="1"/>
    <x:col min="8" max="8" width="38" hidden="0" customWidth="1"/>
    <x:col min="9" max="9" width="38" hidden="0" customWidth="1"/>
    <x:col min="10" max="10" width="20" hidden="0" customWidth="1"/>
    <x:col min="11" max="11" width="22" hidden="0" customWidth="1"/>
    <x:col min="12" max="12" width="28" hidden="0" customWidth="1"/>
    <x:col min="13" max="13" width="36" hidden="0" customWidth="1"/>
  </x:cols>
  <x:sheetData>
    <x:row r="1" ht="32" customHeight="1">
      <x:c r="A1" s="4" t="str">
        <x:v>DANH SÁCH ĐẦU VIỆC</x:v>
      </x:c>
      <x:c r="B1" s="4"/>
      <x:c r="C1" s="4"/>
      <x:c r="D1" s="4"/>
      <x:c r="E1" s="4"/>
      <x:c r="F1" s="4"/>
      <x:c r="G1" s="4"/>
      <x:c r="H1" s="4"/>
      <x:c r="I1" s="4"/>
      <x:c r="J1" s="4"/>
      <x:c r="K1" s="4"/>
      <x:c r="L1" s="4"/>
      <x:c r="M1" s="4"/>
    </x:row>
    <x:row r="2" ht="34" customHeight="1">
      <x:c r="A2" s="10" t="str">
        <x:v>Thứ tự xếp theo đầu vào; cột Chờ là phụ thuộc bắt buộc. Không có lịch ngày do chưa có thời hạn/nguồn lực cụ thể.</x:v>
      </x:c>
      <x:c r="B2" s="10"/>
      <x:c r="C2" s="10"/>
      <x:c r="D2" s="10"/>
      <x:c r="E2" s="10"/>
      <x:c r="F2" s="10"/>
      <x:c r="G2" s="10"/>
      <x:c r="H2" s="10"/>
      <x:c r="I2" s="10"/>
      <x:c r="J2" s="10"/>
      <x:c r="K2" s="10"/>
      <x:c r="L2" s="10"/>
      <x:c r="M2" s="10"/>
    </x:row>
    <x:row r="4" ht="30" customHeight="1">
      <x:c r="A4" s="18" t="str">
        <x:v>Mã</x:v>
      </x:c>
      <x:c r="B4" s="18" t="str">
        <x:v>Phase</x:v>
      </x:c>
      <x:c r="C4" s="18" t="str">
        <x:v>Đợt</x:v>
      </x:c>
      <x:c r="D4" s="18" t="str">
        <x:v>TV</x:v>
      </x:c>
      <x:c r="E4" s="18" t="str">
        <x:v>Folder</x:v>
      </x:c>
      <x:c r="F4" s="18" t="str">
        <x:v>Việc thực hiện</x:v>
      </x:c>
      <x:c r="G4" s="18" t="str">
        <x:v>Chờ task</x:v>
      </x:c>
      <x:c r="H4" s="18" t="str">
        <x:v>Bàn giao mở việc tiếp</x:v>
      </x:c>
      <x:c r="I4" s="18" t="str">
        <x:v>Kiểm thử / hoàn thành</x:v>
      </x:c>
      <x:c r="J4" s="18" t="str">
        <x:v>Trạng thái</x:v>
      </x:c>
      <x:c r="K4" s="18" t="str">
        <x:v>Có thể bắt đầu</x:v>
      </x:c>
      <x:c r="L4" s="18" t="str">
        <x:v>PR / commit / ghi chú</x:v>
      </x:c>
      <x:c r="M4" s="18" t="str">
        <x:v>Căn cứ</x:v>
      </x:c>
    </x:row>
    <x:row r="5" ht="129" customHeight="1">
      <x:c r="A5" s="14" t="str">
        <x:v>1.1</x:v>
      </x:c>
      <x:c r="B5" s="14" t="n">
        <x:v>1</x:v>
      </x:c>
      <x:c r="C5" s="14" t="str">
        <x:v>A</x:v>
      </x:c>
      <x:c r="D5" s="14" t="str">
        <x:v>TV1</x:v>
      </x:c>
      <x:c r="E5" s="14" t="str">
        <x:v>tv1-ai/</x:v>
      </x:c>
      <x:c r="F5" s="14" t="str">
        <x:v>Ghi solution và phạm vi vào repository
Tạo tv1-ai/docs/solution-v1.md bằng solution trong kế hoạch này. Ghi một role STUDENT; các luồng từ hồ sơ đến Chat, Planner, What-if, Audit và theo dõi. Ghi hành vi lưu nháp/áp dụng/hủy, ranh giới folder và tiêu chí bấm thử. Giữ file nguồn gốc, không biến ảnh nháp thành bản đã nghiệm thu.</x:v>
      </x:c>
      <x:c r="G5" s="14" t="str">
        <x:v>Không</x:v>
      </x:c>
      <x:c r="H5" s="14" t="str">
        <x:v>solution-v1 + danh sách luồng; TV5 dùng để dựng khung.</x:v>
      </x:c>
      <x:c r="I5" s="14" t="str">
        <x:v>TV5 đọc và đối chiếu đủ 5 vùng ownership; không thiếu luồng US-13.</x:v>
      </x:c>
      <x:c r="J5" s="24" t="str">
        <x:v>Chưa cập nhật</x:v>
      </x:c>
      <x:c r="K5" s="14" t="str">
        <x:f>IF(J5="Đã bàn giao","Đã bàn giao",IF(TRUE,"Đủ đầu vào","Chờ đầu vào"))</x:f>
        <x:v>Đủ đầu vào</x:v>
      </x:c>
      <x:c r="L5" s="24" t="str"/>
      <x:c r="M5" s="14" t="str">
        <x:v>Workbook Phân công!A4:B8; PRD §3, US-01–13; UI Flow §2–5</x:v>
      </x:c>
    </x:row>
    <x:row r="6" ht="168" customHeight="1">
      <x:c r="A6" s="22" t="str">
        <x:v>1.2</x:v>
      </x:c>
      <x:c r="B6" s="22" t="n">
        <x:v>1</x:v>
      </x:c>
      <x:c r="C6" s="22" t="str">
        <x:v>B</x:v>
      </x:c>
      <x:c r="D6" s="22" t="str">
        <x:v>TV5</x:v>
      </x:c>
      <x:c r="E6" s="22" t="str">
        <x:v>tv5-platform/</x:v>
      </x:c>
      <x:c r="F6" s="22" t="str">
        <x:v>Tạo khung build và contract V0
Tạo 5 folder; Maven multi-module cho contracts, AI, academic và ứng dụng Boot; npm workspace cho web host và gói UI của TV3. Tạo skeleton rỗng một lần, root build files, lockfiles, Compose, CI và AGENTS.md. Trong contracts tạo DTO/ports AcademicFacade, AdvisorFacade, StudentContextProvider, ConversationStore; OpenAPI V0 và JSON fixture. Khóa phiên bản tương thích sau khi build khung thành công.</x:v>
      </x:c>
      <x:c r="G6" s="22" t="str">
        <x:v>1.1</x:v>
      </x:c>
      <x:c r="H6" s="22" t="str">
        <x:v>bootstrap-v0 đã merge; build scripts, contract V0 và mock fixture.</x:v>
      </x:c>
      <x:c r="I6" s="22" t="str">
        <x:v>Build Java và FE skeleton; không có dependency vòng. Live chưa triển khai trả lỗi rõ; mock chỉ bật trong dev/test.</x:v>
      </x:c>
      <x:c r="J6" s="25" t="str">
        <x:v>Chưa cập nhật</x:v>
      </x:c>
      <x:c r="K6" s="22" t="str">
        <x:f>IF(J6="Đã bàn giao","Đã bàn giao",IF(AND($J$5="Đã bàn giao"),"Đủ đầu vào","Chờ đầu vào"))</x:f>
        <x:v>Chờ đầu vào</x:v>
      </x:c>
      <x:c r="L6" s="25" t="str"/>
      <x:c r="M6" s="22" t="str">
        <x:v>Solution triển khai bổ sung</x:v>
      </x:c>
    </x:row>
    <x:row r="7" ht="116" customHeight="1">
      <x:c r="A7" s="14" t="str">
        <x:v>1.3a</x:v>
      </x:c>
      <x:c r="B7" s="14" t="n">
        <x:v>1</x:v>
      </x:c>
      <x:c r="C7" s="14" t="str">
        <x:v>C · song song</x:v>
      </x:c>
      <x:c r="D7" s="14" t="str">
        <x:v>TV2</x:v>
      </x:c>
      <x:c r="E7" s="14" t="str">
        <x:v>tv2-web/</x:v>
      </x:c>
      <x:c r="F7" s="14" t="str">
        <x:v>Code web host và bộ UI V0
Code layout, sidebar, router và API client duy nhất. Tạo Button, Card, Table, Modal, Loading, Error và EmptyState; CSS variables dùng chung. Mount hàm createStudentRoutes({api, ui}) do gói TV3 export; dùng placeholder khi tính năng chưa có.</x:v>
      </x:c>
      <x:c r="G7" s="14" t="str">
        <x:v>1.2</x:v>
      </x:c>
      <x:c r="H7" s="14" t="str">
        <x:v>ui-api-v0: thư viện UI, API client và giao tiếp route cho TV3.</x:v>
      </x:c>
      <x:c r="I7" s="14" t="str">
        <x:v>App chạy; demo page dùng được UI + mock API; không gọi LLM từ trình duyệt.</x:v>
      </x:c>
      <x:c r="J7" s="24" t="str">
        <x:v>Chưa cập nhật</x:v>
      </x:c>
      <x:c r="K7" s="14" t="str">
        <x:f>IF(J7="Đã bàn giao","Đã bàn giao",IF(AND($J$6="Đã bàn giao"),"Đủ đầu vào","Chờ đầu vào"))</x:f>
        <x:v>Chờ đầu vào</x:v>
      </x:c>
      <x:c r="L7" s="24" t="str"/>
      <x:c r="M7" s="14" t="str">
        <x:v>Solution triển khai bổ sung</x:v>
      </x:c>
    </x:row>
    <x:row r="8" ht="103" customHeight="1">
      <x:c r="A8" s="22" t="str">
        <x:v>1.3b</x:v>
      </x:c>
      <x:c r="B8" s="22" t="n">
        <x:v>1</x:v>
      </x:c>
      <x:c r="C8" s="22" t="str">
        <x:v>C · song song</x:v>
      </x:c>
      <x:c r="D8" s="22" t="str">
        <x:v>TV4</x:v>
      </x:c>
      <x:c r="E8" s="22" t="str">
        <x:v>tv4-academic/</x:v>
      </x:c>
      <x:c r="F8" s="22" t="str">
        <x:v>Tạo fixture và test harness học vụ
Tạo bộ hồ sơ/CTĐT mẫu theo schema chung; policy-demo.json giữ quy tắc và trọng số từ PRD, gắn DEMO_UNVERIFIED. Tạo harness kiểm thử AcademicFacade với input/output rõ ràng. Không nối database hoặc LLM.</x:v>
      </x:c>
      <x:c r="G8" s="22" t="str">
        <x:v>1.2</x:v>
      </x:c>
      <x:c r="H8" s="22" t="str">
        <x:v>fixture học vụ V0 + test harness để TV1/TV5 dùng.</x:v>
      </x:c>
      <x:c r="I8" s="22" t="str">
        <x:v>Fixture qua schema; trường chưa biết không biến thành 0/đã đạt.</x:v>
      </x:c>
      <x:c r="J8" s="25" t="str">
        <x:v>Chưa cập nhật</x:v>
      </x:c>
      <x:c r="K8" s="22" t="str">
        <x:f>IF(J8="Đã bàn giao","Đã bàn giao",IF(AND($J$6="Đã bàn giao"),"Đủ đầu vào","Chờ đầu vào"))</x:f>
        <x:v>Chờ đầu vào</x:v>
      </x:c>
      <x:c r="L8" s="25" t="str"/>
      <x:c r="M8" s="22" t="str">
        <x:v>PRD §8, §9, §13.1 + solution</x:v>
      </x:c>
    </x:row>
    <x:row r="9" ht="103" customHeight="1">
      <x:c r="A9" s="14" t="str">
        <x:v>1.3c</x:v>
      </x:c>
      <x:c r="B9" s="14" t="n">
        <x:v>1</x:v>
      </x:c>
      <x:c r="C9" s="14" t="str">
        <x:v>C · song song</x:v>
      </x:c>
      <x:c r="D9" s="14" t="str">
        <x:v>TV1</x:v>
      </x:c>
      <x:c r="E9" s="14" t="str">
        <x:v>tv1-ai/</x:v>
      </x:c>
      <x:c r="F9" s="14" t="str">
        <x:v>Code khung AI và fake tool
Implement khung AdvisorFacade, ToolAdapter, cấu hình ai.mode=mock/live và test bằng fake model/fake AcademicFacade. Result gồm answer, sources, actions, planProposal, warnings. Không cho fake model tự xuất hiện trong live.</x:v>
      </x:c>
      <x:c r="G9" s="14" t="str">
        <x:v>1.2</x:v>
      </x:c>
      <x:c r="H9" s="14" t="str">
        <x:v>AI skeleton + hợp đồng Chat có thể test độc lập.</x:v>
      </x:c>
      <x:c r="I9" s="14" t="str">
        <x:v>Mock response đúng schema; live thiếu cấu hình báo chưa sẵn sàng.</x:v>
      </x:c>
      <x:c r="J9" s="24" t="str">
        <x:v>Chưa cập nhật</x:v>
      </x:c>
      <x:c r="K9" s="14" t="str">
        <x:f>IF(J9="Đã bàn giao","Đã bàn giao",IF(AND($J$6="Đã bàn giao"),"Đủ đầu vào","Chờ đầu vào"))</x:f>
        <x:v>Chờ đầu vào</x:v>
      </x:c>
      <x:c r="L9" s="24" t="str"/>
      <x:c r="M9" s="14" t="str">
        <x:v>Solution triển khai bổ sung</x:v>
      </x:c>
    </x:row>
    <x:row r="10" ht="103" customHeight="1">
      <x:c r="A10" s="22" t="str">
        <x:v>1.4</x:v>
      </x:c>
      <x:c r="B10" s="22" t="n">
        <x:v>1</x:v>
      </x:c>
      <x:c r="C10" s="22" t="str">
        <x:v>D</x:v>
      </x:c>
      <x:c r="D10" s="22" t="str">
        <x:v>TV3</x:v>
      </x:c>
      <x:c r="E10" s="22" t="str">
        <x:v>tv3-planner-ui/</x:v>
      </x:c>
      <x:c r="F10" s="22" t="str">
        <x:v>Code khung feature UI
Tạo gói React export createStudentRoutes({api, ui}); dựng Planner, Chat, What-if, Profile rỗng với loading/error/empty. Dùng UI và API client được truyền từ TV2, không tạo app/layout/auth/client thứ hai.</x:v>
      </x:c>
      <x:c r="G10" s="22" t="str">
        <x:v>1.3a</x:v>
      </x:c>
      <x:c r="H10" s="22" t="str">
        <x:v>Gói feature mount được vào host TV2.</x:v>
      </x:c>
      <x:c r="I10" s="22" t="str">
        <x:v>Mở được route của TV3; không có import ngược vào web host.</x:v>
      </x:c>
      <x:c r="J10" s="25" t="str">
        <x:v>Chưa cập nhật</x:v>
      </x:c>
      <x:c r="K10" s="22" t="str">
        <x:f>IF(J10="Đã bàn giao","Đã bàn giao",IF(AND($J$7="Đã bàn giao"),"Đủ đầu vào","Chờ đầu vào"))</x:f>
        <x:v>Chờ đầu vào</x:v>
      </x:c>
      <x:c r="L10" s="25" t="str"/>
      <x:c r="M10" s="22" t="str">
        <x:v>Solution triển khai bổ sung</x:v>
      </x:c>
    </x:row>
    <x:row r="11" ht="103" customHeight="1">
      <x:c r="A11" s="14" t="str">
        <x:v>1.5</x:v>
      </x:c>
      <x:c r="B11" s="14" t="n">
        <x:v>1</x:v>
      </x:c>
      <x:c r="C11" s="14" t="str">
        <x:v>E</x:v>
      </x:c>
      <x:c r="D11" s="14" t="str">
        <x:v>TV5</x:v>
      </x:c>
      <x:c r="E11" s="14" t="str">
        <x:v>tv5-platform/</x:v>
      </x:c>
      <x:c r="F11" s="14" t="str">
        <x:v>Gộp khung và khóa ownership
Gộp các PR bootstrap, nối script build/test và smoke check. Từ mốc này không sửa folder người khác; TV5 chỉ giữ root files, contracts, migration và platform. Thêm kiểm tra đường dẫn thay đổi, luôn loại secrets khỏi source.</x:v>
      </x:c>
      <x:c r="G11" s="14" t="str">
        <x:v>1.3a, 1.3b, 1.3c, 1.4</x:v>
      </x:c>
      <x:c r="H11" s="14" t="str">
        <x:v>base-v1 đã merge để cả nhóm bắt đầu Phase 2.</x:v>
      </x:c>
      <x:c r="I11" s="14" t="str">
        <x:v>Fresh checkout chạy được hướng dẫn; tất cả module build; không cần AI key để chạy test mock.</x:v>
      </x:c>
      <x:c r="J11" s="24" t="str">
        <x:v>Chưa cập nhật</x:v>
      </x:c>
      <x:c r="K11" s="14" t="str">
        <x:f>IF(J11="Đã bàn giao","Đã bàn giao",IF(AND($J$7="Đã bàn giao",$J$8="Đã bàn giao",$J$9="Đã bàn giao",$J$10="Đã bàn giao"),"Đủ đầu vào","Chờ đầu vào"))</x:f>
        <x:v>Chờ đầu vào</x:v>
      </x:c>
      <x:c r="L11" s="24" t="str"/>
      <x:c r="M11" s="14" t="str">
        <x:v>Solution triển khai bổ sung</x:v>
      </x:c>
    </x:row>
    <x:row r="12" ht="90" customHeight="1">
      <x:c r="A12" s="22" t="str">
        <x:v>2.1</x:v>
      </x:c>
      <x:c r="B12" s="22" t="n">
        <x:v>2</x:v>
      </x:c>
      <x:c r="C12" s="22" t="str">
        <x:v>A</x:v>
      </x:c>
      <x:c r="D12" s="22" t="str">
        <x:v>TV2</x:v>
      </x:c>
      <x:c r="E12" s="22" t="str">
        <x:v>tv2-web/</x:v>
      </x:c>
      <x:c r="F12" s="22" t="str">
        <x:v>Dựng bộ giao diện mẫu trên Stitch
Dựng sidebar/header, Dashboard mẫu và token giao diện. Lưu link/ảnh/token trong tv2-web/design. Bàn giao bộ khung ngay khi dùng được, không đợi làm hết màn học vụ.</x:v>
      </x:c>
      <x:c r="G12" s="22" t="str">
        <x:v>1.5</x:v>
      </x:c>
      <x:c r="H12" s="22" t="str">
        <x:v>design-base-v1 cho TV3 dựng cùng phong cách.</x:v>
      </x:c>
      <x:c r="I12" s="22" t="str">
        <x:v>TV1 xem được mẫu; có menu, component và states để tái dùng.</x:v>
      </x:c>
      <x:c r="J12" s="25" t="str">
        <x:v>Chưa cập nhật</x:v>
      </x:c>
      <x:c r="K12" s="22" t="str">
        <x:f>IF(J12="Đã bàn giao","Đã bàn giao",IF(AND($J$11="Đã bàn giao"),"Đủ đầu vào","Chờ đầu vào"))</x:f>
        <x:v>Chờ đầu vào</x:v>
      </x:c>
      <x:c r="L12" s="25" t="str"/>
      <x:c r="M12" s="22" t="str">
        <x:v>Solution triển khai bổ sung</x:v>
      </x:c>
    </x:row>
    <x:row r="13" ht="129" customHeight="1">
      <x:c r="A13" s="14" t="str">
        <x:v>2.2c</x:v>
      </x:c>
      <x:c r="B13" s="14" t="n">
        <x:v>2</x:v>
      </x:c>
      <x:c r="C13" s="14" t="str">
        <x:v>A · song song với 2.1</x:v>
      </x:c>
      <x:c r="D13" s="14" t="str">
        <x:v>TV4</x:v>
      </x:c>
      <x:c r="E13" s="14" t="str">
        <x:v>tv4-academic/</x:v>
      </x:c>
      <x:c r="F13" s="14" t="str">
        <x:v>Viết đặc tả công cụ chạy được bằng test
Viết bảng test/input/output cho 9 capability trong solution; giữ hard constraints tách khỏi scoring. Ghi điều kiện kỳ tương lai, tham số học vượt/kỳ hè và kết quả thiếu dữ kiện. Ghi đặc tả còn thiếu vào policy demo, không đoán quy chế chính thức.</x:v>
      </x:c>
      <x:c r="G13" s="14" t="str">
        <x:v>1.5</x:v>
      </x:c>
      <x:c r="H13" s="14" t="str">
        <x:v>Academic spec V1, fixture và test cho TV5 khóa contract.</x:v>
      </x:c>
      <x:c r="I13" s="14" t="str">
        <x:v>Input/output không mâu thuẫn giữa academic status, plan, simulation và audit.</x:v>
      </x:c>
      <x:c r="J13" s="24" t="str">
        <x:v>Chưa cập nhật</x:v>
      </x:c>
      <x:c r="K13" s="14" t="str">
        <x:f>IF(J13="Đã bàn giao","Đã bàn giao",IF(AND($J$11="Đã bàn giao"),"Đủ đầu vào","Chờ đầu vào"))</x:f>
        <x:v>Chờ đầu vào</x:v>
      </x:c>
      <x:c r="L13" s="24" t="str"/>
      <x:c r="M13" s="14" t="str">
        <x:v>PRD FR-03/04/08–18, §9, §13</x:v>
      </x:c>
    </x:row>
    <x:row r="14" ht="142" customHeight="1">
      <x:c r="A14" s="22" t="str">
        <x:v>2.2d</x:v>
      </x:c>
      <x:c r="B14" s="22" t="n">
        <x:v>2</x:v>
      </x:c>
      <x:c r="C14" s="22" t="str">
        <x:v>A · song song với 2.1</x:v>
      </x:c>
      <x:c r="D14" s="22" t="str">
        <x:v>TV5</x:v>
      </x:c>
      <x:c r="E14" s="22" t="str">
        <x:v>tv5-platform/</x:v>
      </x:c>
      <x:c r="F14" s="22" t="str">
        <x:v>Tạo migration và API contract đầy đủ
Tạo migration users, student, curriculum/version, course/relation/offering, enrollment_attempt, audit_requirement, import_session, study_plan/semester/course/action, chat và nguồn tri thức. Tạo OpenAPI/DTO cho các thao tác read/preview/validate/save/activate. Tạo port lấy StudentContext và version để phát hiện dữ liệu thay đổi.</x:v>
      </x:c>
      <x:c r="G14" s="22" t="str">
        <x:v>1.5</x:v>
      </x:c>
      <x:c r="H14" s="22" t="str">
        <x:v>DB/schema/API candidate V1 và fixtures.</x:v>
      </x:c>
      <x:c r="I14" s="22" t="str">
        <x:v>Migration chạy trên DB test; schema ví dụ đồng nhất; các request không tin student_id do client gửi.</x:v>
      </x:c>
      <x:c r="J14" s="25" t="str">
        <x:v>Chưa cập nhật</x:v>
      </x:c>
      <x:c r="K14" s="22" t="str">
        <x:f>IF(J14="Đã bàn giao","Đã bàn giao",IF(AND($J$11="Đã bàn giao"),"Đủ đầu vào","Chờ đầu vào"))</x:f>
        <x:v>Chờ đầu vào</x:v>
      </x:c>
      <x:c r="L14" s="25" t="str"/>
      <x:c r="M14" s="22" t="str">
        <x:v>PRD §8 là dữ liệu gốc; session/auth/attempt/version/import/chat là bổ sung triển khai</x:v>
      </x:c>
    </x:row>
    <x:row r="15" ht="129" customHeight="1">
      <x:c r="A15" s="14" t="str">
        <x:v>2.2e</x:v>
      </x:c>
      <x:c r="B15" s="14" t="n">
        <x:v>2</x:v>
      </x:c>
      <x:c r="C15" s="14" t="str">
        <x:v>A · song song với 2.1</x:v>
      </x:c>
      <x:c r="D15" s="14" t="str">
        <x:v>TV1</x:v>
      </x:c>
      <x:c r="E15" s="14" t="str">
        <x:v>tv1-ai/</x:v>
      </x:c>
      <x:c r="F15" s="14" t="str">
        <x:v>Tạo kịch bản Chat và nguồn RAG
Tạo các ca hội thoại hỏi quy chế, nợ môn, lộ trình, học vượt, What-if, Audit, đổi mục tiêu và thiếu bảng điểm. Tạo metadata source_id, section, version cho tài liệu đưa vào RAG. Khi chưa có tài liệu quy chế gốc, dùng tài liệu demo có nhãn và ghi thiếu nguồn, không tuyên bố đã kiểm chứng.</x:v>
      </x:c>
      <x:c r="G15" s="14" t="str">
        <x:v>1.5</x:v>
      </x:c>
      <x:c r="H15" s="14" t="str">
        <x:v>Chat spec và bộ eval input/expected tool/source; nội dung cho UI Chat.</x:v>
      </x:c>
      <x:c r="I15" s="14" t="str">
        <x:v>Mỗi ca có trạng thái hỏi lại/lỗi/nguồn; không tạo nguồn giả.</x:v>
      </x:c>
      <x:c r="J15" s="24" t="str">
        <x:v>Chưa cập nhật</x:v>
      </x:c>
      <x:c r="K15" s="14" t="str">
        <x:f>IF(J15="Đã bàn giao","Đã bàn giao",IF(AND($J$11="Đã bàn giao"),"Đủ đầu vào","Chờ đầu vào"))</x:f>
        <x:v>Chờ đầu vào</x:v>
      </x:c>
      <x:c r="L15" s="24" t="str"/>
      <x:c r="M15" s="14" t="str">
        <x:v>PRD FR-05–07; Brief Solution</x:v>
      </x:c>
    </x:row>
    <x:row r="16" ht="103" customHeight="1">
      <x:c r="A16" s="22" t="str">
        <x:v>2.2a</x:v>
      </x:c>
      <x:c r="B16" s="22" t="n">
        <x:v>2</x:v>
      </x:c>
      <x:c r="C16" s="22" t="str">
        <x:v>B · song song</x:v>
      </x:c>
      <x:c r="D16" s="22" t="str">
        <x:v>TV2</x:v>
      </x:c>
      <x:c r="E16" s="22" t="str">
        <x:v>tv2-web/</x:v>
      </x:c>
      <x:c r="F16" s="22" t="str">
        <x:v>Dựng prototype các màn học vụ
Dựng Login, bảng điểm tải/nhập→xem lại→xác nhận, CTĐT, tree, Dashboard, Audit và đường sang kế hoạch. Thêm nhánh chưa có bảng điểm/lỗi tải/nhập tay/quay lại. Thể hiện báo cáo in/PDF như lựa chọn, không bước bắt buộc.</x:v>
      </x:c>
      <x:c r="G16" s="22" t="str">
        <x:v>2.1</x:v>
      </x:c>
      <x:c r="H16" s="22" t="str">
        <x:v>Prototype học vụ nối vào khung chung.</x:v>
      </x:c>
      <x:c r="I16" s="22" t="str">
        <x:v>Bấm được luồng nhập bảng điểm, tra cứu và Audit; không cần data/AI thật.</x:v>
      </x:c>
      <x:c r="J16" s="25" t="str">
        <x:v>Chưa cập nhật</x:v>
      </x:c>
      <x:c r="K16" s="22" t="str">
        <x:f>IF(J16="Đã bàn giao","Đã bàn giao",IF(AND($J$12="Đã bàn giao"),"Đủ đầu vào","Chờ đầu vào"))</x:f>
        <x:v>Chờ đầu vào</x:v>
      </x:c>
      <x:c r="L16" s="25" t="str"/>
      <x:c r="M16" s="22" t="str">
        <x:v>UI Flow màn 1/4/9, luồng A/B; ảnh Audit + solution</x:v>
      </x:c>
    </x:row>
    <x:row r="17" ht="103" customHeight="1">
      <x:c r="A17" s="14" t="str">
        <x:v>2.2b</x:v>
      </x:c>
      <x:c r="B17" s="14" t="n">
        <x:v>2</x:v>
      </x:c>
      <x:c r="C17" s="14" t="str">
        <x:v>B · song song</x:v>
      </x:c>
      <x:c r="D17" s="14" t="str">
        <x:v>TV3</x:v>
      </x:c>
      <x:c r="E17" s="14" t="str">
        <x:v>tv3-planner-ui/</x:v>
      </x:c>
      <x:c r="F17" s="14" t="str">
        <x:v>Dựng prototype Planner/Chat/What-if
Dựng Chat, phương án, kế hoạch nhiều kỳ, mô phỏng/ROI/mục tiêu ngược/học vượt và Profile. Có nhánh chấp nhận, phương án khác, hủy, lưu nháp, bắt đầu theo dõi, mở lại. AI/What-if/Audit cùng về một Planner; xem tree là tùy chọn.</x:v>
      </x:c>
      <x:c r="G17" s="14" t="str">
        <x:v>2.1</x:v>
      </x:c>
      <x:c r="H17" s="14" t="str">
        <x:v>Prototype tương tác phần TV3 ghép với TV2.</x:v>
      </x:c>
      <x:c r="I17" s="14" t="str">
        <x:v>Tự bấm Chat→đề xuất→sửa→lưu→mở lại; thử What-if rồi thoát không thay bản đang theo dõi.</x:v>
      </x:c>
      <x:c r="J17" s="24" t="str">
        <x:v>Chưa cập nhật</x:v>
      </x:c>
      <x:c r="K17" s="14" t="str">
        <x:f>IF(J17="Đã bàn giao","Đã bàn giao",IF(AND($J$12="Đã bàn giao"),"Đủ đầu vào","Chờ đầu vào"))</x:f>
        <x:v>Chờ đầu vào</x:v>
      </x:c>
      <x:c r="L17" s="24" t="str"/>
      <x:c r="M17" s="14" t="str">
        <x:v>UI Flow màn 2/3/5/6/7/8; PRD US-10/13 + solution</x:v>
      </x:c>
    </x:row>
    <x:row r="18" ht="129" customHeight="1">
      <x:c r="A18" s="22" t="str">
        <x:v>2.3</x:v>
      </x:c>
      <x:c r="B18" s="22" t="n">
        <x:v>2</x:v>
      </x:c>
      <x:c r="C18" s="22" t="str">
        <x:v>C</x:v>
      </x:c>
      <x:c r="D18" s="22" t="str">
        <x:v>TV1</x:v>
      </x:c>
      <x:c r="E18" s="22" t="str">
        <x:v>tv1-ai/</x:v>
      </x:c>
      <x:c r="F18" s="22" t="str">
        <x:v>Review một prototype và ghi bản chốt luồng
Bấm các nhánh của prototype; yêu cầu owner sửa ngay lỗi điều hướng và trạng thái. Ghi flow-approved-v1 với thay đổi triển khai so với bản nháp: lưu nháp khác kích hoạt, dự kiến khác thực tế, áp dụng có xác nhận. Không soi tên môn/số demo để kết luận flow sai.</x:v>
      </x:c>
      <x:c r="G18" s="22" t="str">
        <x:v>2.2a, 2.2b, 2.2c, 2.2d, 2.2e</x:v>
      </x:c>
      <x:c r="H18" s="22" t="str">
        <x:v>flow-approved-v1 + danh sách thay đổi cho contract.</x:v>
      </x:c>
      <x:c r="I18" s="22" t="str">
        <x:v>Các luồng vào trực tiếp/quay lại/hủy/mở lại chạy bằng kịch bản mẫu. Chưa đánh dấu hệ thống thật PASS.</x:v>
      </x:c>
      <x:c r="J18" s="25" t="str">
        <x:v>Chưa cập nhật</x:v>
      </x:c>
      <x:c r="K18" s="22" t="str">
        <x:f>IF(J18="Đã bàn giao","Đã bàn giao",IF(AND($J$16="Đã bàn giao",$J$17="Đã bàn giao",$J$13="Đã bàn giao",$J$14="Đã bàn giao",$J$15="Đã bàn giao"),"Đủ đầu vào","Chờ đầu vào"))</x:f>
        <x:v>Chờ đầu vào</x:v>
      </x:c>
      <x:c r="L18" s="25" t="str"/>
      <x:c r="M18" s="22" t="str">
        <x:v>Solution triển khai bổ sung</x:v>
      </x:c>
    </x:row>
    <x:row r="19" ht="116" customHeight="1">
      <x:c r="A19" s="14" t="str">
        <x:v>2.4</x:v>
      </x:c>
      <x:c r="B19" s="14" t="n">
        <x:v>2</x:v>
      </x:c>
      <x:c r="C19" s="14" t="str">
        <x:v>D</x:v>
      </x:c>
      <x:c r="D19" s="14" t="str">
        <x:v>TV5</x:v>
      </x:c>
      <x:c r="E19" s="14" t="str">
        <x:v>tv5-platform/</x:v>
      </x:c>
      <x:c r="F19" s="14" t="str">
        <x:v>Phát hành contract V1 để 5 người code
Cập nhật OpenAPI, Java DTO/ports và JSON fixtures theo bản chốt. Chạy contract tests; phát hành contracts-v1. Cung cấp fixture cho FE, fake provider cho AI và input cho TV4; thay đổi sau mốc này phải có PR của owner và kiểm tra phía sử dụng.</x:v>
      </x:c>
      <x:c r="G19" s="14" t="str">
        <x:v>2.3</x:v>
      </x:c>
      <x:c r="H19" s="14" t="str">
        <x:v>contracts-v1 đã merge; bản chốt đầu vào cho Phase 3.</x:v>
      </x:c>
      <x:c r="I19" s="14" t="str">
        <x:v>Không có hai tên/trường khác nhau cho cùng dữ liệu; ví dụ và DTO qua test.</x:v>
      </x:c>
      <x:c r="J19" s="24" t="str">
        <x:v>Chưa cập nhật</x:v>
      </x:c>
      <x:c r="K19" s="14" t="str">
        <x:f>IF(J19="Đã bàn giao","Đã bàn giao",IF(AND($J$18="Đã bàn giao"),"Đủ đầu vào","Chờ đầu vào"))</x:f>
        <x:v>Chờ đầu vào</x:v>
      </x:c>
      <x:c r="L19" s="24" t="str"/>
      <x:c r="M19" s="14" t="str">
        <x:v>Solution triển khai bổ sung</x:v>
      </x:c>
    </x:row>
    <x:row r="20" ht="116" customHeight="1">
      <x:c r="A20" s="22" t="str">
        <x:v>3.1</x:v>
      </x:c>
      <x:c r="B20" s="22" t="n">
        <x:v>3</x:v>
      </x:c>
      <x:c r="C20" s="22" t="str">
        <x:v>A · song song</x:v>
      </x:c>
      <x:c r="D20" s="22" t="str">
        <x:v>TV4</x:v>
      </x:c>
      <x:c r="E20" s="22" t="str">
        <x:v>tv4-academic/</x:v>
      </x:c>
      <x:c r="F20" s="22" t="str">
        <x:v>Code học vụ nền tảng và Audit
Implement GPA/CPA bằng BigDecimal, tín chỉ, trạng thái học phần và lịch sử học nhiều lần theo policy. Kiểm tra prerequisite/prior/corequisite, cảnh báo, checklist tốt nghiệp. Tách kết quả thực tế/dự kiến; thiếu thông tin trả UNKNOWN. Không HTTP/DB/LLM.</x:v>
      </x:c>
      <x:c r="G20" s="22" t="str">
        <x:v>2.4</x:v>
      </x:c>
      <x:c r="H20" s="22" t="str">
        <x:v>academic-core-ready: công cụ lõi và test.</x:v>
      </x:c>
      <x:c r="I20" s="22" t="str">
        <x:v>Test pass/fail/in-progress/retake/unknown/cycle; cùng input cho cùng output.</x:v>
      </x:c>
      <x:c r="J20" s="25" t="str">
        <x:v>Chưa cập nhật</x:v>
      </x:c>
      <x:c r="K20" s="22" t="str">
        <x:f>IF(J20="Đã bàn giao","Đã bàn giao",IF(AND($J$19="Đã bàn giao"),"Đủ đầu vào","Chờ đầu vào"))</x:f>
        <x:v>Chờ đầu vào</x:v>
      </x:c>
      <x:c r="L20" s="25" t="str"/>
      <x:c r="M20" s="22" t="str">
        <x:v>PRD FR-03/04/08/09/17/18 + solution</x:v>
      </x:c>
    </x:row>
    <x:row r="21" ht="155" customHeight="1">
      <x:c r="A21" s="14" t="str">
        <x:v>3.2</x:v>
      </x:c>
      <x:c r="B21" s="14" t="n">
        <x:v>3</x:v>
      </x:c>
      <x:c r="C21" s="14" t="str">
        <x:v>A · song song</x:v>
      </x:c>
      <x:c r="D21" s="14" t="str">
        <x:v>TV5</x:v>
      </x:c>
      <x:c r="E21" s="14" t="str">
        <x:v>tv5-platform/</x:v>
      </x:c>
      <x:c r="F21" s="14" t="str">
        <x:v>Code tài khoản, dữ liệu và nhập bảng điểm
Code Spring Security session cookie + CSRF, chỉ STUDENT, truy vấn theo principal. Code hồ sơ, CTĐT, bảng điểm, trạng thái chứng chỉ tự khai báo/demo và seed fixtures. Với PDF có text dùng parser; ảnh/PDF scan qua bộ OCR, sau đó review→confirm; parser/OCR lỗi cho nhập tay. Không làm đăng nhập/crawl portal trường.</x:v>
      </x:c>
      <x:c r="G21" s="14" t="str">
        <x:v>2.4</x:v>
      </x:c>
      <x:c r="H21" s="14" t="str">
        <x:v>data-api-ready: đăng nhập, lưu/đọc hồ sơ và nhập bảng điểm.</x:v>
      </x:c>
      <x:c r="I21" s="14" t="str">
        <x:v>Hai tài khoản không đọc chéo; import review trước commit; upload có giới hạn; điểm parser không phải nguồn tính CPA.</x:v>
      </x:c>
      <x:c r="J21" s="24" t="str">
        <x:v>Chưa cập nhật</x:v>
      </x:c>
      <x:c r="K21" s="14" t="str">
        <x:f>IF(J21="Đã bàn giao","Đã bàn giao",IF(AND($J$19="Đã bàn giao"),"Đủ đầu vào","Chờ đầu vào"))</x:f>
        <x:v>Chờ đầu vào</x:v>
      </x:c>
      <x:c r="L21" s="24" t="str"/>
      <x:c r="M21" s="14" t="str">
        <x:v>PRD FR-01/02, NFR-03; UI Flow luồng A + solution</x:v>
      </x:c>
    </x:row>
    <x:row r="22" ht="129" customHeight="1">
      <x:c r="A22" s="22" t="str">
        <x:v>3.3</x:v>
      </x:c>
      <x:c r="B22" s="22" t="n">
        <x:v>3</x:v>
      </x:c>
      <x:c r="C22" s="22" t="str">
        <x:v>A · song song</x:v>
      </x:c>
      <x:c r="D22" s="22" t="str">
        <x:v>TV1</x:v>
      </x:c>
      <x:c r="E22" s="22" t="str">
        <x:v>tv1-ai/</x:v>
      </x:c>
      <x:c r="F22" s="22" t="str">
        <x:v>Code RAG và đọc nguồn
Code pipeline đọc tài liệu, chunk, metadata nguồn/version và pgvector adapter. Code retriever, câu trả lời có nguồn và tình huống không có căn cứ. Test bằng vector store/model giả lập; live dùng provider cấu hình server. Chỉ index tài liệu dùng chung, không index bảng điểm cá nhân vào kho chung.</x:v>
      </x:c>
      <x:c r="G22" s="22" t="str">
        <x:v>2.4</x:v>
      </x:c>
      <x:c r="H22" s="22" t="str">
        <x:v>rag-ready: RAG module và bộ test.</x:v>
      </x:c>
      <x:c r="I22" s="22" t="str">
        <x:v>Nguồn hiển thị phải tồn tại trong retrieved context; không nguồn thì nói thiếu thông tin.</x:v>
      </x:c>
      <x:c r="J22" s="25" t="str">
        <x:v>Chưa cập nhật</x:v>
      </x:c>
      <x:c r="K22" s="22" t="str">
        <x:f>IF(J22="Đã bàn giao","Đã bàn giao",IF(AND($J$19="Đã bàn giao"),"Đủ đầu vào","Chờ đầu vào"))</x:f>
        <x:v>Chờ đầu vào</x:v>
      </x:c>
      <x:c r="L22" s="25" t="str"/>
      <x:c r="M22" s="22" t="str">
        <x:v>Brief Solution; PRD FR-07 + solution</x:v>
      </x:c>
    </x:row>
    <x:row r="23" ht="116" customHeight="1">
      <x:c r="A23" s="14" t="str">
        <x:v>3.4</x:v>
      </x:c>
      <x:c r="B23" s="14" t="n">
        <x:v>3</x:v>
      </x:c>
      <x:c r="C23" s="14" t="str">
        <x:v>A · song song</x:v>
      </x:c>
      <x:c r="D23" s="14" t="str">
        <x:v>TV2</x:v>
      </x:c>
      <x:c r="E23" s="14" t="str">
        <x:v>tv2-web/</x:v>
      </x:c>
      <x:c r="F23" s="14" t="str">
        <x:v>Code FE học vụ bằng contract mock
Code Login, Dashboard, nhập/xem bảng điểm, CTĐT và tree. Dùng một API client, một layout, một bộ component. Tree chuyển course_id/plan_id sang Planner qua route chung. Không tính GPA/eligibility riêng trong JS; mock đáp ứng schema V1.</x:v>
      </x:c>
      <x:c r="G23" s="14" t="str">
        <x:v>2.4</x:v>
      </x:c>
      <x:c r="H23" s="14" t="str">
        <x:v>academic-ui-ready: màn học vụ và test mock.</x:v>
      </x:c>
      <x:c r="I23" s="14" t="str">
        <x:v>Vitest/UI tests; loading/error/empty; xác nhận nhập, xem lại, quay lại hoạt động.</x:v>
      </x:c>
      <x:c r="J23" s="24" t="str">
        <x:v>Chưa cập nhật</x:v>
      </x:c>
      <x:c r="K23" s="14" t="str">
        <x:f>IF(J23="Đã bàn giao","Đã bàn giao",IF(AND($J$19="Đã bàn giao"),"Đủ đầu vào","Chờ đầu vào"))</x:f>
        <x:v>Chờ đầu vào</x:v>
      </x:c>
      <x:c r="L23" s="24" t="str"/>
      <x:c r="M23" s="14" t="str">
        <x:v>Workbook TV2; UI Flow màn 1/4 và luồng A/B</x:v>
      </x:c>
    </x:row>
    <x:row r="24" ht="116" customHeight="1">
      <x:c r="A24" s="22" t="str">
        <x:v>3.5</x:v>
      </x:c>
      <x:c r="B24" s="22" t="n">
        <x:v>3</x:v>
      </x:c>
      <x:c r="C24" s="22" t="str">
        <x:v>A · song song</x:v>
      </x:c>
      <x:c r="D24" s="22" t="str">
        <x:v>TV3</x:v>
      </x:c>
      <x:c r="E24" s="22" t="str">
        <x:v>tv3-planner-ui/</x:v>
      </x:c>
      <x:c r="F24" s="22" t="str">
        <x:v>Code Planner bằng contract mock
Code danh sách/kế hoạch nhiều kỳ, phương án, thêm/bớt/chuyển môn, cảnh báo validation. DRAFT lưu được khi dữ liệu đúng định dạng; kích hoạt phải kiểm tra nghiệp vụ. Sửa ACTIVE tạo DRAFT kế thừa, hủy giữ bản cũ. Dùng injected api/ui từ TV2.</x:v>
      </x:c>
      <x:c r="G24" s="22" t="str">
        <x:v>2.4</x:v>
      </x:c>
      <x:c r="H24" s="22" t="str">
        <x:v>planner-ui-ready: Planner, lưu/hủy/mở lại bằng mock.</x:v>
      </x:c>
      <x:c r="I24" s="22" t="str">
        <x:v>UI test thêm/sửa/hủy; chấp nhận không bắt buộc xem tree; lưu lỗi không mất nội dung.</x:v>
      </x:c>
      <x:c r="J24" s="25" t="str">
        <x:v>Chưa cập nhật</x:v>
      </x:c>
      <x:c r="K24" s="22" t="str">
        <x:f>IF(J24="Đã bàn giao","Đã bàn giao",IF(AND($J$19="Đã bàn giao"),"Đủ đầu vào","Chờ đầu vào"))</x:f>
        <x:v>Chờ đầu vào</x:v>
      </x:c>
      <x:c r="L24" s="25" t="str"/>
      <x:c r="M24" s="22" t="str">
        <x:v>Workbook TV3; PRD US-06/13, §13.2 + solution</x:v>
      </x:c>
    </x:row>
    <x:row r="25" ht="155" customHeight="1">
      <x:c r="A25" s="14" t="str">
        <x:v>3.6</x:v>
      </x:c>
      <x:c r="B25" s="14" t="n">
        <x:v>3</x:v>
      </x:c>
      <x:c r="C25" s="14" t="str">
        <x:v>B · theo hàng TV4</x:v>
      </x:c>
      <x:c r="D25" s="14" t="str">
        <x:v>TV4</x:v>
      </x:c>
      <x:c r="E25" s="14" t="str">
        <x:v>tv4-academic/</x:v>
      </x:c>
      <x:c r="F25" s="14" t="str">
        <x:v>Code bộ tạo lộ trình
Implement eligibility→ranking→phân bổ theo kỳ→validate cuối. Tính score 40/25/20/15 theo phụ lục PRD, chuẩn hóa thành phần có dữ liệu. Lập đồ thị tiên quyết, gom song hành, kiểm tra mùa mở lớp, chế độ chuẩn/học vượt/kỳ hè. Nếu không tìm được phương án trả NO_PLAN_FOUND + lý do, không khẳng định vô nghiệm toàn cục. Lịch chưa có dữ liệu đánh dấu giả định.</x:v>
      </x:c>
      <x:c r="G25" s="14" t="str">
        <x:v>3.1</x:v>
      </x:c>
      <x:c r="H25" s="14" t="str">
        <x:v>planner-tool-ready: generate/validate plan độc lập.</x:v>
      </x:c>
      <x:c r="I25" s="14" t="str">
        <x:v>Không đưa môn vi phạm vào phương án hợp lệ; môn kỳ tương lai có giả định đạt môn trước; lỗi/cycle/thiếu offering có lý do.</x:v>
      </x:c>
      <x:c r="J25" s="24" t="str">
        <x:v>Chưa cập nhật</x:v>
      </x:c>
      <x:c r="K25" s="14" t="str">
        <x:f>IF(J25="Đã bàn giao","Đã bàn giao",IF(AND($J$20="Đã bàn giao"),"Đủ đầu vào","Chờ đầu vào"))</x:f>
        <x:v>Chờ đầu vào</x:v>
      </x:c>
      <x:c r="L25" s="24" t="str"/>
      <x:c r="M25" s="14" t="str">
        <x:v>PRD FR-10–13, US-10, §13.1 + lựa chọn thuật toán greedy theo ràng buộc</x:v>
      </x:c>
    </x:row>
    <x:row r="26" ht="155" customHeight="1">
      <x:c r="A26" s="22" t="str">
        <x:v>3.7</x:v>
      </x:c>
      <x:c r="B26" s="22" t="n">
        <x:v>3</x:v>
      </x:c>
      <x:c r="C26" s="22" t="str">
        <x:v>B · theo hàng TV5</x:v>
      </x:c>
      <x:c r="D26" s="22" t="str">
        <x:v>TV5</x:v>
      </x:c>
      <x:c r="E26" s="22" t="str">
        <x:v>tv5-platform/</x:v>
      </x:c>
      <x:c r="F26" s="22" t="str">
        <x:v>Code lưu kế hoạch, hội thoại và theo dõi
Code plan CRUD, bản nháp kế thừa, trạng thái, optimistic version, chat history/import session/plan actions. Kích hoạt một kế hoạch bằng transaction và kiểm tra revision hồ sơ/policy/plan; một ACTIVE/sinh viên trong solution này. Code StudentContextProvider/ConversationStore. Chưa có tool thật thì giữ stub NOT_READY, chỉ mock trong dev/test.</x:v>
      </x:c>
      <x:c r="G26" s="22" t="str">
        <x:v>3.2</x:v>
      </x:c>
      <x:c r="H26" s="22" t="str">
        <x:v>persistence-ready: plan/chat storage và context provider.</x:v>
      </x:c>
      <x:c r="I26" s="22" t="str">
        <x:v>Lưu/mở lại/hủy/sửa đồng thời/import lặp; không chéo tài khoản; không ACTIVE khi validation chưa có thật.</x:v>
      </x:c>
      <x:c r="J26" s="25" t="str">
        <x:v>Chưa cập nhật</x:v>
      </x:c>
      <x:c r="K26" s="22" t="str">
        <x:f>IF(J26="Đã bàn giao","Đã bàn giao",IF(AND($J$21="Đã bàn giao"),"Đủ đầu vào","Chờ đầu vào"))</x:f>
        <x:v>Chờ đầu vào</x:v>
      </x:c>
      <x:c r="L26" s="25" t="str"/>
      <x:c r="M26" s="22" t="str">
        <x:v>PRD G9/US-13, §13.2 + hành vi bổ sung</x:v>
      </x:c>
    </x:row>
    <x:row r="27" ht="155" customHeight="1">
      <x:c r="A27" s="14" t="str">
        <x:v>3.8</x:v>
      </x:c>
      <x:c r="B27" s="14" t="n">
        <x:v>3</x:v>
      </x:c>
      <x:c r="C27" s="14" t="str">
        <x:v>B · theo hàng TV1</x:v>
      </x:c>
      <x:c r="D27" s="14" t="str">
        <x:v>TV1</x:v>
      </x:c>
      <x:c r="E27" s="14" t="str">
        <x:v>tv1-ai/</x:v>
      </x:c>
      <x:c r="F27" s="14" t="str">
        <x:v>Code hội thoại và tool calling
Implement AdvisorFacade bằng Spring AI/Gemini. ToolAdapter gọi AcademicFacade qua interface và lấy StudentContext từ port server; không expose student_id cho model lựa chọn. Gọi tool→kiểm schema→giải thích; giới hạn vòng/timeouts. Chỉ đọc/tính/tạo proposal, không cấp tool ghi điểm hoặc kích hoạt. Cấu trúc học phần/điểm lấy nguyên từ tool; model chỉ sinh lời giải thích.</x:v>
      </x:c>
      <x:c r="G27" s="14" t="str">
        <x:v>3.3</x:v>
      </x:c>
      <x:c r="H27" s="14" t="str">
        <x:v>advisor-ready: AI với fake tool/provider và eval.</x:v>
      </x:c>
      <x:c r="I27" s="14" t="str">
        <x:v>Đổi mục tiêu, thiếu input, tool lỗi, nguồn sai, timeout; mock/live tách rõ.</x:v>
      </x:c>
      <x:c r="J27" s="24" t="str">
        <x:v>Chưa cập nhật</x:v>
      </x:c>
      <x:c r="K27" s="14" t="str">
        <x:f>IF(J27="Đã bàn giao","Đã bàn giao",IF(AND($J$22="Đã bàn giao"),"Đủ đầu vào","Chờ đầu vào"))</x:f>
        <x:v>Chờ đầu vào</x:v>
      </x:c>
      <x:c r="L27" s="24" t="str"/>
      <x:c r="M27" s="14" t="str">
        <x:v>Workbook TV1; PRD FR-05–07; Spring AI docs + solution</x:v>
      </x:c>
    </x:row>
    <x:row r="28" ht="116" customHeight="1">
      <x:c r="A28" s="22" t="str">
        <x:v>3.9</x:v>
      </x:c>
      <x:c r="B28" s="22" t="n">
        <x:v>3</x:v>
      </x:c>
      <x:c r="C28" s="22" t="str">
        <x:v>B · theo hàng TV2</x:v>
      </x:c>
      <x:c r="D28" s="22" t="str">
        <x:v>TV2</x:v>
      </x:c>
      <x:c r="E28" s="22" t="str">
        <x:v>tv2-web/</x:v>
      </x:c>
      <x:c r="F28" s="22" t="str">
        <x:v>Code Audit, tiến độ, báo cáo mẫu
Code Audit checklist/warning/đường bù đắp, tiến độ Dashboard và nút mở kế hoạch cũ. Code report với print CSS để sinh viên in/lưu PDF, ghi rõ báo cáo hiện tại hay dự kiến. Viết phần báo cáo FE học vụ tại tv2-web/docs/report; chưa gom file của người khác.</x:v>
      </x:c>
      <x:c r="G28" s="22" t="str">
        <x:v>3.4</x:v>
      </x:c>
      <x:c r="H28" s="22" t="str">
        <x:v>audit-ui-ready + báo cáo phần TV2.</x:v>
      </x:c>
      <x:c r="I28" s="22" t="str">
        <x:v>UI test trạng thái đạt/thiếu/chưa biết; bản in không lẫn dự kiến với thực tế.</x:v>
      </x:c>
      <x:c r="J28" s="25" t="str">
        <x:v>Chưa cập nhật</x:v>
      </x:c>
      <x:c r="K28" s="22" t="str">
        <x:f>IF(J28="Đã bàn giao","Đã bàn giao",IF(AND($J$23="Đã bàn giao"),"Đủ đầu vào","Chờ đầu vào"))</x:f>
        <x:v>Chờ đầu vào</x:v>
      </x:c>
      <x:c r="L28" s="25" t="str"/>
      <x:c r="M28" s="22" t="str">
        <x:v>UI Flow màn 9; ảnh luồng Audit bước 6–7; Workbook TV2</x:v>
      </x:c>
    </x:row>
    <x:row r="29" ht="116" customHeight="1">
      <x:c r="A29" s="14" t="str">
        <x:v>3.10</x:v>
      </x:c>
      <x:c r="B29" s="14" t="n">
        <x:v>3</x:v>
      </x:c>
      <x:c r="C29" s="14" t="str">
        <x:v>B · theo hàng TV3</x:v>
      </x:c>
      <x:c r="D29" s="14" t="str">
        <x:v>TV3</x:v>
      </x:c>
      <x:c r="E29" s="14" t="str">
        <x:v>tv3-planner-ui/</x:v>
      </x:c>
      <x:c r="F29" s="14" t="str">
        <x:v>Code What-if, ROI và mục tiêu ngược
Code 3 công cụ tại cùng nhóm What-if, vào trực tiếp từng công cụ; chọn điểm/nhận kết quả mock, chọn môn cải thiện. Áp dụng tạo thay đổi cho Planner để xem lại; chỉ thử/thoát không sửa bảng điểm hoặc ACTIVE. Debounce request, bỏ response cũ đến muộn.</x:v>
      </x:c>
      <x:c r="G29" s="14" t="str">
        <x:v>3.5</x:v>
      </x:c>
      <x:c r="H29" s="14" t="str">
        <x:v>simulation-ui-ready.</x:v>
      </x:c>
      <x:c r="I29" s="14" t="str">
        <x:v>UI test nhập liên tiếp/response muộn/hủy/áp dụng; không gọi AI để kéo slider.</x:v>
      </x:c>
      <x:c r="J29" s="24" t="str">
        <x:v>Chưa cập nhật</x:v>
      </x:c>
      <x:c r="K29" s="14" t="str">
        <x:f>IF(J29="Đã bàn giao","Đã bàn giao",IF(AND($J$24="Đã bàn giao"),"Đủ đầu vào","Chờ đầu vào"))</x:f>
        <x:v>Chờ đầu vào</x:v>
      </x:c>
      <x:c r="L29" s="24" t="str"/>
      <x:c r="M29" s="14" t="str">
        <x:v>PRD FR-14–16; UI Flow màn 6/7/8 + solution</x:v>
      </x:c>
    </x:row>
    <x:row r="30" ht="142" customHeight="1">
      <x:c r="A30" s="22" t="str">
        <x:v>3.11</x:v>
      </x:c>
      <x:c r="B30" s="22" t="n">
        <x:v>3</x:v>
      </x:c>
      <x:c r="C30" s="22" t="str">
        <x:v>C · theo hàng TV4</x:v>
      </x:c>
      <x:c r="D30" s="22" t="str">
        <x:v>TV4</x:v>
      </x:c>
      <x:c r="E30" s="22" t="str">
        <x:v>tv4-academic/</x:v>
      </x:c>
      <x:c r="F30" s="22" t="str">
        <x:v>Code mô phỏng và đối chiếu tiến độ
Implement simulateGrades, rankRetakeCourses, calculateTargetGrades, reconcileStudyPlan. Dùng cùng cách tính GPA/CPA; ROI theo mỗi tín chỉ như PRD. Tính mục tiêu ngược từ tổng điểm có trọng số; ngưỡng cao hơn khả năng trả không đạt theo giả định, không bịa mức điểm. Audit tạo action cho chứng chỉ thay vì đổi chúng thành tín chỉ môn học.</x:v>
      </x:c>
      <x:c r="G30" s="22" t="str">
        <x:v>3.6</x:v>
      </x:c>
      <x:c r="H30" s="22" t="str">
        <x:v>simulation-tools-ready + toàn bộ AcademicFacade.</x:v>
      </x:c>
      <x:c r="I30" s="22" t="str">
        <x:v>Kết quả mô phỏng không đổi input; test retake/unknown/unattainable/no remaining credits/đối chiếu học kỳ.</x:v>
      </x:c>
      <x:c r="J30" s="25" t="str">
        <x:v>Chưa cập nhật</x:v>
      </x:c>
      <x:c r="K30" s="22" t="str">
        <x:f>IF(J30="Đã bàn giao","Đã bàn giao",IF(AND($J$25="Đã bàn giao"),"Đủ đầu vào","Chờ đầu vào"))</x:f>
        <x:v>Chờ đầu vào</x:v>
      </x:c>
      <x:c r="L30" s="25" t="str"/>
      <x:c r="M30" s="22" t="str">
        <x:v>PRD FR-14–18, US-13; UI Flow màn 6–9 + solution</x:v>
      </x:c>
    </x:row>
    <x:row r="31" ht="129" customHeight="1">
      <x:c r="A31" s="14" t="str">
        <x:v>3.12</x:v>
      </x:c>
      <x:c r="B31" s="14" t="n">
        <x:v>3</x:v>
      </x:c>
      <x:c r="C31" s="14" t="str">
        <x:v>C · theo hàng TV3</x:v>
      </x:c>
      <x:c r="D31" s="14" t="str">
        <x:v>TV3</x:v>
      </x:c>
      <x:c r="E31" s="14" t="str">
        <x:v>tv3-planner-ui/</x:v>
      </x:c>
      <x:c r="F31" s="14" t="str">
        <x:v>Code Chat, Profile và báo cáo phần TV3
Code Chat lịch sử/nguồn/action card/thử lại; link attachment mở luồng nhập bảng điểm chung của TV2. Profile và trạng thái chưa có hồ sơ. Chat hỏi quy chế ở nguyên hội thoại; proposal mở Planner. Gửi nhận JSON trước, không thêm WebSocket ngoài phạm vi. Viết docs/report phần TV3.</x:v>
      </x:c>
      <x:c r="G31" s="14" t="str">
        <x:v>3.10</x:v>
      </x:c>
      <x:c r="H31" s="14" t="str">
        <x:v>chat-ui-ready + báo cáo phần TV3.</x:v>
      </x:c>
      <x:c r="I31" s="14" t="str">
        <x:v>UI test gửi/hỏi tiếp/thử lại/nguồn/link proposal; không import host ngược.</x:v>
      </x:c>
      <x:c r="J31" s="24" t="str">
        <x:v>Chưa cập nhật</x:v>
      </x:c>
      <x:c r="K31" s="14" t="str">
        <x:f>IF(J31="Đã bàn giao","Đã bàn giao",IF(AND($J$29="Đã bàn giao"),"Đủ đầu vào","Chờ đầu vào"))</x:f>
        <x:v>Chờ đầu vào</x:v>
      </x:c>
      <x:c r="L31" s="24" t="str"/>
      <x:c r="M31" s="14" t="str">
        <x:v>Workbook TV3; UI Flow màn 2/3 + solution</x:v>
      </x:c>
    </x:row>
    <x:row r="32" ht="116" customHeight="1">
      <x:c r="A32" s="22" t="str">
        <x:v>4.1</x:v>
      </x:c>
      <x:c r="B32" s="22" t="n">
        <x:v>4</x:v>
      </x:c>
      <x:c r="C32" s="22" t="str">
        <x:v>A</x:v>
      </x:c>
      <x:c r="D32" s="22" t="str">
        <x:v>TV5</x:v>
      </x:c>
      <x:c r="E32" s="22" t="str">
        <x:v>tv5-platform/</x:v>
      </x:c>
      <x:c r="F32" s="22" t="str">
        <x:v>Nối API dữ liệu với công cụ học vụ thật
Wire AcademicFacade thật, StudentContextProvider và API trạng thái/CTĐT/tree/audit. Dùng hồ sơ do server nạp, không tin dữ liệu ownership từ browser. Trả profileRevision và policyVersion. Giữ fake bindings chỉ ở test profile.</x:v>
      </x:c>
      <x:c r="G32" s="22" t="str">
        <x:v>3.1, 3.7</x:v>
      </x:c>
      <x:c r="H32" s="22" t="str">
        <x:v>academic-api-live: API học vụ đã nối tool và DB thật.</x:v>
      </x:c>
      <x:c r="I32" s="22" t="str">
        <x:v>API integration test có hai tài khoản; so kết quả facade; không hidden fallback mock.</x:v>
      </x:c>
      <x:c r="J32" s="25" t="str">
        <x:v>Chưa cập nhật</x:v>
      </x:c>
      <x:c r="K32" s="22" t="str">
        <x:f>IF(J32="Đã bàn giao","Đã bàn giao",IF(AND($J$20="Đã bàn giao",$J$26="Đã bàn giao"),"Đủ đầu vào","Chờ đầu vào"))</x:f>
        <x:v>Chờ đầu vào</x:v>
      </x:c>
      <x:c r="L32" s="25" t="str"/>
      <x:c r="M32" s="22" t="str">
        <x:v>Solution triển khai bổ sung</x:v>
      </x:c>
    </x:row>
    <x:row r="33" ht="90" customHeight="1">
      <x:c r="A33" s="14" t="str">
        <x:v>4.2a</x:v>
      </x:c>
      <x:c r="B33" s="14" t="n">
        <x:v>4</x:v>
      </x:c>
      <x:c r="C33" s="14" t="str">
        <x:v>B · nhánh học vụ</x:v>
      </x:c>
      <x:c r="D33" s="14" t="str">
        <x:v>TV2</x:v>
      </x:c>
      <x:c r="E33" s="14" t="str">
        <x:v>tv2-web/</x:v>
      </x:c>
      <x:c r="F33" s="14" t="str">
        <x:v>Nối FE học vụ vào API thật
Thay mock trong Login/bảng điểm/Dashboard/CTĐT/tree bằng client thật. Kiểm tra nhập→review→confirm→Dashboard→mở lại; chỉnh hiển thị chỉ trong folder TV2. Audit sang Planner giữ plan_id.</x:v>
      </x:c>
      <x:c r="G33" s="14" t="str">
        <x:v>4.1, 3.9</x:v>
      </x:c>
      <x:c r="H33" s="14" t="str">
        <x:v>academic-ui-live.</x:v>
      </x:c>
      <x:c r="I33" s="14" t="str">
        <x:v>Playwright chạy luồng import/lookup; không mock cho bài E2E.</x:v>
      </x:c>
      <x:c r="J33" s="24" t="str">
        <x:v>Chưa cập nhật</x:v>
      </x:c>
      <x:c r="K33" s="14" t="str">
        <x:f>IF(J33="Đã bàn giao","Đã bàn giao",IF(AND($J$32="Đã bàn giao",$J$28="Đã bàn giao"),"Đủ đầu vào","Chờ đầu vào"))</x:f>
        <x:v>Chờ đầu vào</x:v>
      </x:c>
      <x:c r="L33" s="24" t="str"/>
      <x:c r="M33" s="14" t="str">
        <x:v>Solution triển khai bổ sung</x:v>
      </x:c>
    </x:row>
    <x:row r="34" ht="103" customHeight="1">
      <x:c r="A34" s="22" t="str">
        <x:v>4.2b</x:v>
      </x:c>
      <x:c r="B34" s="22" t="n">
        <x:v>4</x:v>
      </x:c>
      <x:c r="C34" s="22" t="str">
        <x:v>B · nhánh kế hoạch</x:v>
      </x:c>
      <x:c r="D34" s="22" t="str">
        <x:v>TV5</x:v>
      </x:c>
      <x:c r="E34" s="22" t="str">
        <x:v>tv5-platform/</x:v>
      </x:c>
      <x:c r="F34" s="22" t="str">
        <x:v>Nối API tạo và kiểm tra kế hoạch
Wire generate/validate tới Planner tool. Nối lưu/activate với validation revision; transaction đổi ACTIVE; lưu nháp không được báo đã qua nghiệp vụ. Revalidate khi transcript/policy thay đổi.</x:v>
      </x:c>
      <x:c r="G34" s="22" t="str">
        <x:v>4.1, 3.6</x:v>
      </x:c>
      <x:c r="H34" s="22" t="str">
        <x:v>planner-api-live.</x:v>
      </x:c>
      <x:c r="I34" s="22" t="str">
        <x:v>Tạo→sửa→validate→save→activate→read; test version xung đột và quyền.</x:v>
      </x:c>
      <x:c r="J34" s="25" t="str">
        <x:v>Chưa cập nhật</x:v>
      </x:c>
      <x:c r="K34" s="22" t="str">
        <x:f>IF(J34="Đã bàn giao","Đã bàn giao",IF(AND($J$32="Đã bàn giao",$J$25="Đã bàn giao"),"Đủ đầu vào","Chờ đầu vào"))</x:f>
        <x:v>Chờ đầu vào</x:v>
      </x:c>
      <x:c r="L34" s="25" t="str"/>
      <x:c r="M34" s="22" t="str">
        <x:v>Solution triển khai bổ sung</x:v>
      </x:c>
    </x:row>
    <x:row r="35" ht="116" customHeight="1">
      <x:c r="A35" s="14" t="str">
        <x:v>4.2c</x:v>
      </x:c>
      <x:c r="B35" s="14" t="n">
        <x:v>4</x:v>
      </x:c>
      <x:c r="C35" s="14" t="str">
        <x:v>B · nhánh AI</x:v>
      </x:c>
      <x:c r="D35" s="14" t="str">
        <x:v>TV1</x:v>
      </x:c>
      <x:c r="E35" s="14" t="str">
        <x:v>tv1-ai/</x:v>
      </x:c>
      <x:c r="F35" s="14" t="str">
        <x:v>Thay fake tool bằng tool và context thật
Nối ToolAdapter tới toàn bộ AcademicFacade thật và context/history ports. Nối live RAG vào pgvector đã tạo migration. Dùng học vụ thật trong integration tests và model giả lập có kiểm soát; live model eval chạy riêng.</x:v>
      </x:c>
      <x:c r="G35" s="14" t="str">
        <x:v>4.1, 3.8, 3.11</x:v>
      </x:c>
      <x:c r="H35" s="14" t="str">
        <x:v>advisor-integrated: module AI dùng tool/context thật.</x:v>
      </x:c>
      <x:c r="I35" s="14" t="str">
        <x:v>Hai tài khoản/hai chat không lẫn; tool lỗi không bị model biến thành thành công; thiếu key ghi chưa chạy live.</x:v>
      </x:c>
      <x:c r="J35" s="24" t="str">
        <x:v>Chưa cập nhật</x:v>
      </x:c>
      <x:c r="K35" s="14" t="str">
        <x:f>IF(J35="Đã bàn giao","Đã bàn giao",IF(AND($J$32="Đã bàn giao",$J$27="Đã bàn giao",$J$30="Đã bàn giao"),"Đủ đầu vào","Chờ đầu vào"))</x:f>
        <x:v>Chờ đầu vào</x:v>
      </x:c>
      <x:c r="L35" s="24" t="str"/>
      <x:c r="M35" s="14" t="str">
        <x:v>Solution triển khai bổ sung</x:v>
      </x:c>
    </x:row>
    <x:row r="36" ht="90" customHeight="1">
      <x:c r="A36" s="22" t="str">
        <x:v>4.3a</x:v>
      </x:c>
      <x:c r="B36" s="22" t="n">
        <x:v>4</x:v>
      </x:c>
      <x:c r="C36" s="22" t="str">
        <x:v>C · Planner FE</x:v>
      </x:c>
      <x:c r="D36" s="22" t="str">
        <x:v>TV3</x:v>
      </x:c>
      <x:c r="E36" s="22" t="str">
        <x:v>tv3-planner-ui/</x:v>
      </x:c>
      <x:c r="F36" s="22" t="str">
        <x:v>Nối Planner vào API thật
Thay mock Planner bằng API thật. Test tạo phương án trực tiếp không cần Chat, lưu nháp, sửa bản ACTIVE qua bản kế thừa, hủy, kích hoạt và mở lại sau reload. Giữ nội dung khi API lỗi.</x:v>
      </x:c>
      <x:c r="G36" s="22" t="str">
        <x:v>4.2b, 3.12</x:v>
      </x:c>
      <x:c r="H36" s="22" t="str">
        <x:v>planner-ui-live.</x:v>
      </x:c>
      <x:c r="I36" s="22" t="str">
        <x:v>Playwright end-to-end với DB; chỉ ACTIVE sau server xác nhận.</x:v>
      </x:c>
      <x:c r="J36" s="25" t="str">
        <x:v>Chưa cập nhật</x:v>
      </x:c>
      <x:c r="K36" s="22" t="str">
        <x:f>IF(J36="Đã bàn giao","Đã bàn giao",IF(AND($J$34="Đã bàn giao",$J$31="Đã bàn giao"),"Đủ đầu vào","Chờ đầu vào"))</x:f>
        <x:v>Chờ đầu vào</x:v>
      </x:c>
      <x:c r="L36" s="25" t="str"/>
      <x:c r="M36" s="22" t="str">
        <x:v>Solution triển khai bổ sung</x:v>
      </x:c>
    </x:row>
    <x:row r="37" ht="116" customHeight="1">
      <x:c r="A37" s="14" t="str">
        <x:v>4.3b</x:v>
      </x:c>
      <x:c r="B37" s="14" t="n">
        <x:v>4</x:v>
      </x:c>
      <x:c r="C37" s="14" t="str">
        <x:v>C · platform</x:v>
      </x:c>
      <x:c r="D37" s="14" t="str">
        <x:v>TV5</x:v>
      </x:c>
      <x:c r="E37" s="14" t="str">
        <x:v>tv5-platform/</x:v>
      </x:c>
      <x:c r="F37" s="14" t="str">
        <x:v>Nối API What-if, đối soát và Chat
Wire tools mô phỏng/ROI/mục tiêu ngược/đối soát; cập nhật hồ sơ làm kế hoạch cần kiểm tra lại. Wire AdvisorFacade vào Chat endpoint và persistence; cấu hình deadline/lỗi/health readiness AI. Thiếu AI key không chặn hồ sơ/Planner/What-if.</x:v>
      </x:c>
      <x:c r="G37" s="14" t="str">
        <x:v>4.2b, 4.2c, 3.11</x:v>
      </x:c>
      <x:c r="H37" s="14" t="str">
        <x:v>all-api-live: API bộ công cụ và Chat cùng runtime.</x:v>
      </x:c>
      <x:c r="I37" s="14" t="str">
        <x:v>Contract + integration tests; live AI unavailable trả lỗi có thể thử lại, không fake answer.</x:v>
      </x:c>
      <x:c r="J37" s="24" t="str">
        <x:v>Chưa cập nhật</x:v>
      </x:c>
      <x:c r="K37" s="14" t="str">
        <x:f>IF(J37="Đã bàn giao","Đã bàn giao",IF(AND($J$34="Đã bàn giao",$J$35="Đã bàn giao",$J$30="Đã bàn giao"),"Đủ đầu vào","Chờ đầu vào"))</x:f>
        <x:v>Chờ đầu vào</x:v>
      </x:c>
      <x:c r="L37" s="24" t="str"/>
      <x:c r="M37" s="14" t="str">
        <x:v>Solution triển khai bổ sung</x:v>
      </x:c>
    </x:row>
    <x:row r="38" ht="90" customHeight="1">
      <x:c r="A38" s="22" t="str">
        <x:v>4.3c</x:v>
      </x:c>
      <x:c r="B38" s="22" t="n">
        <x:v>4</x:v>
      </x:c>
      <x:c r="C38" s="22" t="str">
        <x:v>C · tools</x:v>
      </x:c>
      <x:c r="D38" s="22" t="str">
        <x:v>TV4</x:v>
      </x:c>
      <x:c r="E38" s="22" t="str">
        <x:v>tv4-academic/</x:v>
      </x:c>
      <x:c r="F38" s="22" t="str">
        <x:v>Chạy regression và sửa lỗi tool
Chạy lại bộ case được gọi từ API/AI; thêm regression test trước khi sửa bug. Giữ sửa code tại tv4-academic. Trả schema lỗi rõ cho backend/AI, không chữa lỗi bằng cách bỏ ràng buộc.</x:v>
      </x:c>
      <x:c r="G38" s="22" t="str">
        <x:v>4.2b, 4.2c, 3.11</x:v>
      </x:c>
      <x:c r="H38" s="22" t="str">
        <x:v>academic-regression-ready.</x:v>
      </x:c>
      <x:c r="I38" s="22" t="str">
        <x:v>Unit/regression tests đủ input sample đã thống nhất; đối chiếu không mutate dữ liệu.</x:v>
      </x:c>
      <x:c r="J38" s="25" t="str">
        <x:v>Chưa cập nhật</x:v>
      </x:c>
      <x:c r="K38" s="22" t="str">
        <x:f>IF(J38="Đã bàn giao","Đã bàn giao",IF(AND($J$34="Đã bàn giao",$J$35="Đã bàn giao",$J$30="Đã bàn giao"),"Đủ đầu vào","Chờ đầu vào"))</x:f>
        <x:v>Chờ đầu vào</x:v>
      </x:c>
      <x:c r="L38" s="25" t="str"/>
      <x:c r="M38" s="22" t="str">
        <x:v>Solution triển khai bổ sung</x:v>
      </x:c>
    </x:row>
    <x:row r="39" ht="90" customHeight="1">
      <x:c r="A39" s="14" t="str">
        <x:v>4.4a</x:v>
      </x:c>
      <x:c r="B39" s="14" t="n">
        <x:v>4</x:v>
      </x:c>
      <x:c r="C39" s="14" t="str">
        <x:v>D · FE kế hoạch/AI</x:v>
      </x:c>
      <x:c r="D39" s="14" t="str">
        <x:v>TV3</x:v>
      </x:c>
      <x:c r="E39" s="14" t="str">
        <x:v>tv3-planner-ui/</x:v>
      </x:c>
      <x:c r="F39" s="14" t="str">
        <x:v>Nối Chat và What-if về Planner thật
Thay mock Chat/What-if. Chạy Chat→proposal→Planner; What-if/ROI/goal→review diff→save/cancel. Mở lại kế hoạch, cập nhật kết quả học kỳ và đối chiếu. Link file đính kèm dùng importer chung.</x:v>
      </x:c>
      <x:c r="G39" s="14" t="str">
        <x:v>4.3a, 4.3b</x:v>
      </x:c>
      <x:c r="H39" s="14" t="str">
        <x:v>student-planning-e2e-ready.</x:v>
      </x:c>
      <x:c r="I39" s="14" t="str">
        <x:v>E2E không mock nghiệp vụ; hủy không thay bản cũ, nguồn click đúng, Chat hỏi lại đúng ngữ cảnh.</x:v>
      </x:c>
      <x:c r="J39" s="24" t="str">
        <x:v>Chưa cập nhật</x:v>
      </x:c>
      <x:c r="K39" s="14" t="str">
        <x:f>IF(J39="Đã bàn giao","Đã bàn giao",IF(AND($J$36="Đã bàn giao",$J$37="Đã bàn giao"),"Đủ đầu vào","Chờ đầu vào"))</x:f>
        <x:v>Chờ đầu vào</x:v>
      </x:c>
      <x:c r="L39" s="24" t="str"/>
      <x:c r="M39" s="14" t="str">
        <x:v>Solution triển khai bổ sung</x:v>
      </x:c>
    </x:row>
    <x:row r="40" ht="103" customHeight="1">
      <x:c r="A40" s="22" t="str">
        <x:v>4.4b</x:v>
      </x:c>
      <x:c r="B40" s="22" t="n">
        <x:v>4</x:v>
      </x:c>
      <x:c r="C40" s="22" t="str">
        <x:v>D · FE học vụ</x:v>
      </x:c>
      <x:c r="D40" s="22" t="str">
        <x:v>TV2</x:v>
      </x:c>
      <x:c r="E40" s="22" t="str">
        <x:v>tv2-web/</x:v>
      </x:c>
      <x:c r="F40" s="22" t="str">
        <x:v>Nối Audit, theo dõi và báo cáo thật
Chạy Audit→bù đắp→Planner→lưu; cập nhật bảng điểm→Dashboard/tiến độ mới→mở đúng kế hoạch. In báo cáo từ snapshot đang xem. Hiển thị trạng thái app đánh giá, không xác nhận tốt nghiệp thay trường.</x:v>
      </x:c>
      <x:c r="G40" s="22" t="str">
        <x:v>4.2a, 4.3a, 4.3b</x:v>
      </x:c>
      <x:c r="H40" s="22" t="str">
        <x:v>student-academic-e2e-ready.</x:v>
      </x:c>
      <x:c r="I40" s="22" t="str">
        <x:v>E2E Audit/tiến độ/export; không đánh dấu đạt điều kiện thực tế khi chỉ thêm kế hoạch.</x:v>
      </x:c>
      <x:c r="J40" s="25" t="str">
        <x:v>Chưa cập nhật</x:v>
      </x:c>
      <x:c r="K40" s="22" t="str">
        <x:f>IF(J40="Đã bàn giao","Đã bàn giao",IF(AND($J$33="Đã bàn giao",$J$36="Đã bàn giao",$J$37="Đã bàn giao"),"Đủ đầu vào","Chờ đầu vào"))</x:f>
        <x:v>Chờ đầu vào</x:v>
      </x:c>
      <x:c r="L40" s="25" t="str"/>
      <x:c r="M40" s="22" t="str">
        <x:v>Solution triển khai bổ sung</x:v>
      </x:c>
    </x:row>
    <x:row r="41" ht="116" customHeight="1">
      <x:c r="A41" s="14" t="str">
        <x:v>4.5</x:v>
      </x:c>
      <x:c r="B41" s="14" t="n">
        <x:v>4</x:v>
      </x:c>
      <x:c r="C41" s="14" t="str">
        <x:v>E</x:v>
      </x:c>
      <x:c r="D41" s="14" t="str">
        <x:v>TV1</x:v>
      </x:c>
      <x:c r="E41" s="14" t="str">
        <x:v>tv1-ai/</x:v>
      </x:c>
      <x:c r="F41" s="14" t="str">
        <x:v>Nghiệm thu tích hợp một phiên bản
Chạy bộ acceptance từ PRD cùng các nhánh hủy/lỗi/mở lại. Đo latency Chat/What-if/tree trên môi trường ghi rõ cấu hình; ghi kết quả thực đo, không tuyên bố target đã đạt khi chưa chạy. Gửi lỗi về owner, chờ PR sửa/test rồi rerun. Không code thay module người khác.</x:v>
      </x:c>
      <x:c r="G41" s="14" t="str">
        <x:v>4.4a, 4.4b, 4.3c</x:v>
      </x:c>
      <x:c r="H41" s="14" t="str">
        <x:v>release-candidate commit + ma trận kết quả test + giới hạn còn lại.</x:v>
      </x:c>
      <x:c r="I41" s="14" t="str">
        <x:v>Không lỗi chặn luồng; tests thực chạy có log; live AI không chạy ghi UNTESTED.</x:v>
      </x:c>
      <x:c r="J41" s="24" t="str">
        <x:v>Chưa cập nhật</x:v>
      </x:c>
      <x:c r="K41" s="14" t="str">
        <x:f>IF(J41="Đã bàn giao","Đã bàn giao",IF(AND($J$39="Đã bàn giao",$J$40="Đã bàn giao",$J$38="Đã bàn giao"),"Đủ đầu vào","Chờ đầu vào"))</x:f>
        <x:v>Chờ đầu vào</x:v>
      </x:c>
      <x:c r="L41" s="24" t="str"/>
      <x:c r="M41" s="14" t="str">
        <x:v>PRD §7, §10, US-13 + solution</x:v>
      </x:c>
    </x:row>
    <x:row r="42" ht="129" customHeight="1">
      <x:c r="A42" s="22" t="str">
        <x:v>5.1</x:v>
      </x:c>
      <x:c r="B42" s="22" t="n">
        <x:v>5</x:v>
      </x:c>
      <x:c r="C42" s="22" t="str">
        <x:v>A</x:v>
      </x:c>
      <x:c r="D42" s="22" t="str">
        <x:v>TV5</x:v>
      </x:c>
      <x:c r="E42" s="22" t="str">
        <x:v>tv5-platform/</x:v>
      </x:c>
      <x:c r="F42" s="22" t="str">
        <x:v>Deploy bản ứng viên
Build từ đúng release-candidate commit; Compose web/Boot/DB, reverse proxy HTTPS, cookie/secrets cấu hình server, backup/restore và volume riêng. Tạo môi trường demo chung, README và phần báo cáo Backend. Không dùng demo credentials trong cấu hình công khai ngoài chủ đích.</x:v>
      </x:c>
      <x:c r="G42" s="22" t="str">
        <x:v>4.5</x:v>
      </x:c>
      <x:c r="H42" s="22" t="str">
        <x:v>URL demo + build commit + hướng dẫn vận hành + phần báo cáo TV5.</x:v>
      </x:c>
      <x:c r="I42" s="22" t="str">
        <x:v>Fresh start, health, backup/restore thử trên DB test; secrets không xuất hiện trong bundle/log.</x:v>
      </x:c>
      <x:c r="J42" s="25" t="str">
        <x:v>Chưa cập nhật</x:v>
      </x:c>
      <x:c r="K42" s="22" t="str">
        <x:f>IF(J42="Đã bàn giao","Đã bàn giao",IF(AND($J$41="Đã bàn giao"),"Đủ đầu vào","Chờ đầu vào"))</x:f>
        <x:v>Chờ đầu vào</x:v>
      </x:c>
      <x:c r="L42" s="25" t="str"/>
      <x:c r="M42" s="22" t="str">
        <x:v>Solution triển khai bổ sung</x:v>
      </x:c>
    </x:row>
    <x:row r="43" ht="90" customHeight="1">
      <x:c r="A43" s="14" t="str">
        <x:v>5.2a</x:v>
      </x:c>
      <x:c r="B43" s="14" t="n">
        <x:v>5</x:v>
      </x:c>
      <x:c r="C43" s="14" t="str">
        <x:v>B · song song</x:v>
      </x:c>
      <x:c r="D43" s="14" t="str">
        <x:v>TV2</x:v>
      </x:c>
      <x:c r="E43" s="14" t="str">
        <x:v>tv2-web/</x:v>
      </x:c>
      <x:c r="F43" s="14" t="str">
        <x:v>Smoke học vụ và viết báo cáo
Bấm Login/import/Dashboard/CTĐT/Audit trên URL chung; sửa lỗi trong folder TV2 rồi gửi PR, không sửa trực tiếp server. Chụp ảnh đúng build, hoàn thiện hướng dẫn và báo cáo FE học vụ.</x:v>
      </x:c>
      <x:c r="G43" s="14" t="str">
        <x:v>5.1</x:v>
      </x:c>
      <x:c r="H43" s="14" t="str">
        <x:v>Báo cáo/ảnh phần TV2 + smoke result.</x:v>
      </x:c>
      <x:c r="I43" s="14" t="str">
        <x:v>Các bước lặp lại được; ảnh khớp commit demo.</x:v>
      </x:c>
      <x:c r="J43" s="24" t="str">
        <x:v>Chưa cập nhật</x:v>
      </x:c>
      <x:c r="K43" s="14" t="str">
        <x:f>IF(J43="Đã bàn giao","Đã bàn giao",IF(AND($J$42="Đã bàn giao"),"Đủ đầu vào","Chờ đầu vào"))</x:f>
        <x:v>Chờ đầu vào</x:v>
      </x:c>
      <x:c r="L43" s="24" t="str"/>
      <x:c r="M43" s="14" t="str">
        <x:v>Solution triển khai bổ sung</x:v>
      </x:c>
    </x:row>
    <x:row r="44" ht="77" customHeight="1">
      <x:c r="A44" s="22" t="str">
        <x:v>5.2b</x:v>
      </x:c>
      <x:c r="B44" s="22" t="n">
        <x:v>5</x:v>
      </x:c>
      <x:c r="C44" s="22" t="str">
        <x:v>B · song song</x:v>
      </x:c>
      <x:c r="D44" s="22" t="str">
        <x:v>TV3</x:v>
      </x:c>
      <x:c r="E44" s="22" t="str">
        <x:v>tv3-planner-ui/</x:v>
      </x:c>
      <x:c r="F44" s="22" t="str">
        <x:v>Smoke kế hoạch/Chat và viết báo cáo
Bấm Planner/Chat/What-if/Profile trên URL chung. Viết hướng dẫn lưu/hủy/mở lại và báo cáo phần TV3 trong folder riêng. Gửi PR sửa nếu có lỗi.</x:v>
      </x:c>
      <x:c r="G44" s="22" t="str">
        <x:v>5.1</x:v>
      </x:c>
      <x:c r="H44" s="22" t="str">
        <x:v>Báo cáo/ảnh phần TV3 + smoke result.</x:v>
      </x:c>
      <x:c r="I44" s="22" t="str">
        <x:v>Test đúng bản triển khai; không dùng mock thay live mà không ghi nhãn.</x:v>
      </x:c>
      <x:c r="J44" s="25" t="str">
        <x:v>Chưa cập nhật</x:v>
      </x:c>
      <x:c r="K44" s="22" t="str">
        <x:f>IF(J44="Đã bàn giao","Đã bàn giao",IF(AND($J$42="Đã bàn giao"),"Đủ đầu vào","Chờ đầu vào"))</x:f>
        <x:v>Chờ đầu vào</x:v>
      </x:c>
      <x:c r="L44" s="25" t="str"/>
      <x:c r="M44" s="22" t="str">
        <x:v>Solution triển khai bổ sung</x:v>
      </x:c>
    </x:row>
    <x:row r="45" ht="103" customHeight="1">
      <x:c r="A45" s="14" t="str">
        <x:v>5.2c</x:v>
      </x:c>
      <x:c r="B45" s="14" t="n">
        <x:v>5</x:v>
      </x:c>
      <x:c r="C45" s="14" t="str">
        <x:v>B · song song</x:v>
      </x:c>
      <x:c r="D45" s="14" t="str">
        <x:v>TV4</x:v>
      </x:c>
      <x:c r="E45" s="14" t="str">
        <x:v>tv4-academic/</x:v>
      </x:c>
      <x:c r="F45" s="14" t="str">
        <x:v>Bàn giao thuật toán và kiểm thử
Chạy regression trên cấu hình release; viết mô tả tools, policy version, thuật toán, giả định và giới hạn. Giữ dữ liệu PRD demo là chưa được kiểm chứng quy chế trường. Không gọi greedy là nghiệm tối ưu toàn cục.</x:v>
      </x:c>
      <x:c r="G45" s="14" t="str">
        <x:v>5.1</x:v>
      </x:c>
      <x:c r="H45" s="14" t="str">
        <x:v>Báo cáo tools + kết quả test + dữ liệu demo có nhãn.</x:v>
      </x:c>
      <x:c r="I45" s="14" t="str">
        <x:v>Các con số báo cáo truy ngược được fixture/test; không bịa metric cải thiện GPA thực tế.</x:v>
      </x:c>
      <x:c r="J45" s="24" t="str">
        <x:v>Chưa cập nhật</x:v>
      </x:c>
      <x:c r="K45" s="14" t="str">
        <x:f>IF(J45="Đã bàn giao","Đã bàn giao",IF(AND($J$42="Đã bàn giao"),"Đủ đầu vào","Chờ đầu vào"))</x:f>
        <x:v>Chờ đầu vào</x:v>
      </x:c>
      <x:c r="L45" s="24" t="str"/>
      <x:c r="M45" s="14" t="str">
        <x:v>Solution triển khai bổ sung</x:v>
      </x:c>
    </x:row>
    <x:row r="46" ht="103" customHeight="1">
      <x:c r="A46" s="22" t="str">
        <x:v>5.2d</x:v>
      </x:c>
      <x:c r="B46" s="22" t="n">
        <x:v>5</x:v>
      </x:c>
      <x:c r="C46" s="22" t="str">
        <x:v>B · song song</x:v>
      </x:c>
      <x:c r="D46" s="22" t="str">
        <x:v>TV1</x:v>
      </x:c>
      <x:c r="E46" s="22" t="str">
        <x:v>tv1-ai/</x:v>
      </x:c>
      <x:c r="F46" s="22" t="str">
        <x:v>Smoke AI và báo cáo kiến trúc
Chạy live AI có nguồn khi được cấp key; kiểm tra RAG/tool call trên URL chung. Viết phần AI/kiến trúc/evaluation/demo script và giới hạn. Thiếu key/nguồn ghi rõ chưa kiểm thử, không coi mock pass là live pass.</x:v>
      </x:c>
      <x:c r="G46" s="22" t="str">
        <x:v>5.1</x:v>
      </x:c>
      <x:c r="H46" s="22" t="str">
        <x:v>Báo cáo AI + demo script + live evaluation status.</x:v>
      </x:c>
      <x:c r="I46" s="22" t="str">
        <x:v>Nguồn/tin nhắn không lẫn tài khoản; mọi metric có kết quả chạy.</x:v>
      </x:c>
      <x:c r="J46" s="25" t="str">
        <x:v>Chưa cập nhật</x:v>
      </x:c>
      <x:c r="K46" s="22" t="str">
        <x:f>IF(J46="Đã bàn giao","Đã bàn giao",IF(AND($J$42="Đã bàn giao"),"Đủ đầu vào","Chờ đầu vào"))</x:f>
        <x:v>Chờ đầu vào</x:v>
      </x:c>
      <x:c r="L46" s="25" t="str"/>
      <x:c r="M46" s="22" t="str">
        <x:v>Solution triển khai bổ sung</x:v>
      </x:c>
    </x:row>
    <x:row r="47" ht="103" customHeight="1">
      <x:c r="A47" s="14" t="str">
        <x:v>5.3</x:v>
      </x:c>
      <x:c r="B47" s="14" t="n">
        <x:v>5</x:v>
      </x:c>
      <x:c r="C47" s="14" t="str">
        <x:v>C</x:v>
      </x:c>
      <x:c r="D47" s="14" t="str">
        <x:v>TV2</x:v>
      </x:c>
      <x:c r="E47" s="14" t="str">
        <x:v>tv2-web/</x:v>
      </x:c>
      <x:c r="F47" s="14" t="str">
        <x:v>Hợp nhất quyển báo cáo
Nhận nội dung của TV1/TV3/TV4/TV5 qua bản đã bàn giao. Hợp nhất quyển tại tv2-web/docs/report/final, rà thuật ngữ/hình/phiên bản. TV3 tiếp tục sở hữu phần riêng, không mở sửa cùng file bản cuối.</x:v>
      </x:c>
      <x:c r="G47" s="14" t="str">
        <x:v>5.2a, 5.2b, 5.2c, 5.2d</x:v>
      </x:c>
      <x:c r="H47" s="14" t="str">
        <x:v>Quyển báo cáo hợp nhất + mục phân công từng người.</x:v>
      </x:c>
      <x:c r="I47" s="14" t="str">
        <x:v>Nội dung phản ánh code hiện có; không thiếu tác giả hay phần kỹ thuật.</x:v>
      </x:c>
      <x:c r="J47" s="24" t="str">
        <x:v>Chưa cập nhật</x:v>
      </x:c>
      <x:c r="K47" s="14" t="str">
        <x:f>IF(J47="Đã bàn giao","Đã bàn giao",IF(AND($J$43="Đã bàn giao",$J$44="Đã bàn giao",$J$45="Đã bàn giao",$J$46="Đã bàn giao"),"Đủ đầu vào","Chờ đầu vào"))</x:f>
        <x:v>Chờ đầu vào</x:v>
      </x:c>
      <x:c r="L47" s="24" t="str"/>
      <x:c r="M47" s="14" t="str">
        <x:v>Solution triển khai bổ sung</x:v>
      </x:c>
    </x:row>
    <x:row r="48" ht="103" customHeight="1">
      <x:c r="A48" s="22" t="str">
        <x:v>5.4</x:v>
      </x:c>
      <x:c r="B48" s="22" t="n">
        <x:v>5</x:v>
      </x:c>
      <x:c r="C48" s="22" t="str">
        <x:v>D</x:v>
      </x:c>
      <x:c r="D48" s="22" t="str">
        <x:v>TV1</x:v>
      </x:c>
      <x:c r="E48" s="22" t="str">
        <x:v>tv1-ai/</x:v>
      </x:c>
      <x:c r="F48" s="22" t="str">
        <x:v>Chốt bàn giao theo commit
Chạy demo toàn nhóm trên build cuối; đối chiếu báo cáo/test với commit. Nếu có sửa runtime sau smoke, yêu cầu TV5 deploy lại và owner chạy lại test bị ảnh hưởng trước khi chấp nhận. Ghi release checklist.</x:v>
      </x:c>
      <x:c r="G48" s="22" t="str">
        <x:v>5.3</x:v>
      </x:c>
      <x:c r="H48" s="22" t="str">
        <x:v>Release acceptance + commit/hash được duyệt.</x:v>
      </x:c>
      <x:c r="I48" s="22" t="str">
        <x:v>Không nghiệm thu khi còn lỗi chặn hoặc chưa rõ phần mock/live.</x:v>
      </x:c>
      <x:c r="J48" s="25" t="str">
        <x:v>Chưa cập nhật</x:v>
      </x:c>
      <x:c r="K48" s="22" t="str">
        <x:f>IF(J48="Đã bàn giao","Đã bàn giao",IF(AND($J$47="Đã bàn giao"),"Đủ đầu vào","Chờ đầu vào"))</x:f>
        <x:v>Chờ đầu vào</x:v>
      </x:c>
      <x:c r="L48" s="25" t="str"/>
      <x:c r="M48" s="22" t="str">
        <x:v>Solution triển khai bổ sung</x:v>
      </x:c>
    </x:row>
    <x:row r="49" ht="90" customHeight="1">
      <x:c r="A49" s="14" t="str">
        <x:v>5.5</x:v>
      </x:c>
      <x:c r="B49" s="14" t="n">
        <x:v>5</x:v>
      </x:c>
      <x:c r="C49" s="14" t="str">
        <x:v>E</x:v>
      </x:c>
      <x:c r="D49" s="14" t="str">
        <x:v>TV5</x:v>
      </x:c>
      <x:c r="E49" s="14" t="str">
        <x:v>tv5-platform/</x:v>
      </x:c>
      <x:c r="F49" s="14" t="str">
        <x:v>Gắn tag và bàn giao bản cuối
Gắn tag cho commit được duyệt, build/deploy cùng artifact đã kiểm thử, kiểm tra health/login. Bàn giao source, cấu hình mẫu không secrets, hướng dẫn chạy và khôi phục.</x:v>
      </x:c>
      <x:c r="G49" s="14" t="str">
        <x:v>5.4</x:v>
      </x:c>
      <x:c r="H49" s="14" t="str">
        <x:v>Release tag + URL + gói bàn giao.</x:v>
      </x:c>
      <x:c r="I49" s="14" t="str">
        <x:v>Tag, deployed commit và báo cáo trùng phiên bản.</x:v>
      </x:c>
      <x:c r="J49" s="24" t="str">
        <x:v>Chưa cập nhật</x:v>
      </x:c>
      <x:c r="K49" s="14" t="str">
        <x:f>IF(J49="Đã bàn giao","Đã bàn giao",IF(AND($J$48="Đã bàn giao"),"Đủ đầu vào","Chờ đầu vào"))</x:f>
        <x:v>Chờ đầu vào</x:v>
      </x:c>
      <x:c r="L49" s="24" t="str"/>
      <x:c r="M49" s="14" t="str">
        <x:v>Solution triển khai bổ sung</x:v>
      </x:c>
    </x:row>
  </x:sheetData>
  <x:mergeCells>
    <x:mergeCell ref="A1:M1"/>
    <x:mergeCell ref="A2:M2"/>
  </x:mergeCells>
  <x:conditionalFormatting sqref="K5:K49">
    <x:cfRule type="expression" dxfId="0" priority="1">
      <x:formula>K5="Đủ đầu vào"</x:formula>
    </x:cfRule>
    <x:cfRule type="expression" dxfId="1" priority="2">
      <x:formula>K5="Chờ đầu vào"</x:formula>
    </x:cfRule>
  </x:conditionalFormatting>
  <x:conditionalFormatting sqref="J5:J49">
    <x:cfRule type="expression" dxfId="2" priority="3">
      <x:formula>J5="Đã bàn giao"</x:formula>
    </x:cfRule>
  </x:conditionalFormatting>
  <x:dataValidations count="1">
    <x:dataValidation type="list" sqref="J5:J49">
      <x:formula1>"Chưa cập nhật,Đang làm,Chờ review,Bị chặn,Đã bàn giao"</x:formula1>
    </x:dataValidation>
  </x:dataValidations>
  <x:pageMargins left="0.7" right="0.7" top="0.75" bottom="0.75" header="0.3" footer="0.3"/>
  <x:tableParts count="1">
    <x:tablePart xmlns:r="http://schemas.openxmlformats.org/officeDocument/2006/relationships" r:id="Rd9140bb8f48c4ff1"/>
  </x:tableParts>
</x:worksheet>
</file>

<file path=xl/worksheets/sheet4.xml><?xml version="1.0" encoding="utf-8"?>
<x:worksheet xmlns:x="http://schemas.openxmlformats.org/spreadsheetml/2006/main">
  <x:sheetFormatPr defaultRowHeight="15"/>
  <x:cols>
    <x:col min="1" max="1" width="8" hidden="0" customWidth="1"/>
    <x:col min="2" max="2" width="27" hidden="0" customWidth="1"/>
    <x:col min="3" max="3" width="33" hidden="0" customWidth="1"/>
    <x:col min="4" max="4" width="40" hidden="0" customWidth="1"/>
    <x:col min="5" max="5" width="40" hidden="0" customWidth="1"/>
    <x:col min="6" max="6" width="22" hidden="0" customWidth="1"/>
  </x:cols>
  <x:sheetData>
    <x:row r="1" ht="32" customHeight="1">
      <x:c r="A1" s="4" t="str">
        <x:v>OWNERSHIP | MỖI NGƯỜI MỘT FOLDER</x:v>
      </x:c>
      <x:c r="B1" s="4"/>
      <x:c r="C1" s="4"/>
      <x:c r="D1" s="4"/>
      <x:c r="E1" s="4"/>
      <x:c r="F1" s="4"/>
    </x:row>
    <x:row r="2" ht="34" customHeight="1">
      <x:c r="A2" s="10" t="str">
        <x:v>Folder riêng giảm sửa đè, nhưng vẫn phải kiểm tra contract và các điểm tích hợp.</x:v>
      </x:c>
      <x:c r="B2" s="10"/>
      <x:c r="C2" s="10"/>
      <x:c r="D2" s="10"/>
      <x:c r="E2" s="10"/>
      <x:c r="F2" s="10"/>
    </x:row>
    <x:row r="4" ht="30" customHeight="1">
      <x:c r="A4" s="18" t="str">
        <x:v>TV</x:v>
      </x:c>
      <x:c r="B4" s="18" t="str">
        <x:v>Vai trò</x:v>
      </x:c>
      <x:c r="C4" s="18" t="str">
        <x:v>Folder / file</x:v>
      </x:c>
      <x:c r="D4" s="18" t="str">
        <x:v>Được sửa</x:v>
      </x:c>
      <x:c r="E4" s="18" t="str">
        <x:v>Không sửa / ranh giới</x:v>
      </x:c>
      <x:c r="F4" s="18" t="str">
        <x:v>Loại module</x:v>
      </x:c>
    </x:row>
    <x:row r="5" ht="51" customHeight="1">
      <x:c r="A5" s="14" t="str">
        <x:v>TV1</x:v>
      </x:c>
      <x:c r="B5" s="14" t="str">
        <x:v>Lead + AI</x:v>
      </x:c>
      <x:c r="C5" s="14" t="str">
        <x:v>tv1-ai/</x:v>
      </x:c>
      <x:c r="D5" s="14" t="str">
        <x:v>src: AI/RAG/ToolAdapter; resources/prompts; tests; docs/report; design review.</x:v>
      </x:c>
      <x:c r="E5" s="14" t="str">
        <x:v>Không controller/repository của TV5; không sửa code tool TV4 hay màn Chat TV3.</x:v>
      </x:c>
      <x:c r="F5" s="14" t="str">
        <x:v>Maven library</x:v>
      </x:c>
    </x:row>
    <x:row r="6" ht="51" customHeight="1">
      <x:c r="A6" s="22" t="str">
        <x:v>TV2</x:v>
      </x:c>
      <x:c r="B6" s="22" t="str">
        <x:v>FE nền tảng/học vụ</x:v>
      </x:c>
      <x:c r="C6" s="22" t="str">
        <x:v>tv2-web/</x:v>
      </x:c>
      <x:c r="D6" s="22" t="str">
        <x:v>Web host, layout/router/shared UI/API client, học vụ/Audit/tree, thiết kế chung, quyển báo cáo hợp nhất.</x:v>
      </x:c>
      <x:c r="E6" s="22" t="str">
        <x:v>Không sửa folder TV3. Chỉ TV2 hợp nhất báo cáo cuối; người khác bàn giao file nguồn.</x:v>
      </x:c>
      <x:c r="F6" s="22" t="str">
        <x:v>React app</x:v>
      </x:c>
    </x:row>
    <x:row r="7" ht="51" customHeight="1">
      <x:c r="A7" s="14" t="str">
        <x:v>TV3</x:v>
      </x:c>
      <x:c r="B7" s="14" t="str">
        <x:v>FE kế hoạch/AI</x:v>
      </x:c>
      <x:c r="C7" s="14" t="str">
        <x:v>tv3-planner-ui/</x:v>
      </x:c>
      <x:c r="D7" s="14" t="str">
        <x:v>Feature pages Planner/Recommendation/Chat/What-if/Profile; export routes; tests; báo cáo phần TV3.</x:v>
      </x:c>
      <x:c r="E7" s="14" t="str">
        <x:v>Không app thứ hai; không sửa layout/router/client TV2. Nhận ui/api từ host.</x:v>
      </x:c>
      <x:c r="F7" s="14" t="str">
        <x:v>React feature package</x:v>
      </x:c>
    </x:row>
    <x:row r="8" ht="51" customHeight="1">
      <x:c r="A8" s="22" t="str">
        <x:v>TV4</x:v>
      </x:c>
      <x:c r="B8" s="22" t="str">
        <x:v>Academic/Recommendation Tools</x:v>
      </x:c>
      <x:c r="C8" s="22" t="str">
        <x:v>tv4-academic/</x:v>
      </x:c>
      <x:c r="D8" s="22" t="str">
        <x:v>Hàm Java học vụ/planning/simulation/audit; policy demo; fixtures; unit/regression tests; docs.</x:v>
      </x:c>
      <x:c r="E8" s="22" t="str">
        <x:v>Không SQL/repository/HTTP/LLM. Không ghi transcript thật.</x:v>
      </x:c>
      <x:c r="F8" s="22" t="str">
        <x:v>Maven library</x:v>
      </x:c>
    </x:row>
    <x:row r="9" ht="51" customHeight="1">
      <x:c r="A9" s="14" t="str">
        <x:v>TV5</x:v>
      </x:c>
      <x:c r="B9" s="14" t="str">
        <x:v>Backend/DB/DevOps</x:v>
      </x:c>
      <x:c r="C9" s="14" t="str">
        <x:v>tv5-platform/</x:v>
      </x:c>
      <x:c r="D9" s="14" t="str">
        <x:v>contracts/, app/ Boot auth/API/persistence/adapters; migration, seed, infra; docs.</x:v>
      </x:c>
      <x:c r="E9" s="14" t="str">
        <x:v>Không nhân bản logic TV4 hay prompt TV1. Quyền scaffold 5 folder chỉ ở 1.2.</x:v>
      </x:c>
      <x:c r="F9" s="14" t="str">
        <x:v>Spring Boot runtime</x:v>
      </x:c>
    </x:row>
    <x:row r="10" ht="64" customHeight="1">
      <x:c r="A10" s="22" t="str">
        <x:v>TV5</x:v>
      </x:c>
      <x:c r="B10" s="22" t="str">
        <x:v>File dùng chung</x:v>
      </x:c>
      <x:c r="C10" s="22" t="str">
        <x:v>Root: pom.xml; package.json; package-lock.json; mvnw; .github/; AGENTS.md</x:v>
      </x:c>
      <x:c r="D10" s="22" t="str">
        <x:v>Root build, workspace registration, lockfile, quy định phạm vi, CI. TV1 đưa nội dung yêu cầu vào docs riêng; TV5 đồng bộ root.</x:v>
      </x:c>
      <x:c r="E10" s="22" t="str">
        <x:v>Một người merge thay đổi root; PR có người bị ảnh hưởng review.</x:v>
      </x:c>
      <x:c r="F10" s="22" t="str">
        <x:v>Single writer</x:v>
      </x:c>
    </x:row>
  </x:sheetData>
  <x:mergeCells>
    <x:mergeCell ref="A1:F1"/>
    <x:mergeCell ref="A2:F2"/>
  </x:mergeCells>
  <x:pageMargins left="0.7" right="0.7" top="0.75" bottom="0.75" header="0.3" footer="0.3"/>
  <x:tableParts count="1">
    <x:tablePart xmlns:r="http://schemas.openxmlformats.org/officeDocument/2006/relationships" r:id="Rc60b482d82d24034"/>
  </x:tableParts>
</x:worksheet>
</file>

<file path=xl/worksheets/sheet5.xml><?xml version="1.0" encoding="utf-8"?>
<x:worksheet xmlns:x="http://schemas.openxmlformats.org/spreadsheetml/2006/main">
  <x:sheetFormatPr defaultRowHeight="15"/>
  <x:cols>
    <x:col min="1" max="1" width="24" hidden="0" customWidth="1"/>
    <x:col min="2" max="2" width="40" hidden="0" customWidth="1"/>
    <x:col min="3" max="3" width="40" hidden="0" customWidth="1"/>
    <x:col min="4" max="4" width="25" hidden="0" customWidth="1"/>
  </x:cols>
  <x:sheetData>
    <x:row r="1" ht="32" customHeight="1">
      <x:c r="A1" s="4" t="str">
        <x:v>SOLUTION TRIỂN KHAI</x:v>
      </x:c>
      <x:c r="B1" s="4"/>
      <x:c r="C1" s="4"/>
      <x:c r="D1" s="4"/>
    </x:row>
    <x:row r="2" ht="34" customHeight="1">
      <x:c r="A2" s="10" t="str">
        <x:v>Cột loại phân biệt nội dung từ tài liệu với các quyết định triển khai bổ sung của kế hoạch này.</x:v>
      </x:c>
      <x:c r="B2" s="10"/>
      <x:c r="C2" s="10"/>
      <x:c r="D2" s="10"/>
    </x:row>
    <x:row r="4" ht="30" customHeight="1">
      <x:c r="A4" s="18" t="str">
        <x:v>Hạng mục</x:v>
      </x:c>
      <x:c r="B4" s="18" t="str">
        <x:v>Giải pháp dùng trong bản này</x:v>
      </x:c>
      <x:c r="C4" s="18" t="str">
        <x:v>Nguồn / cơ sở</x:v>
      </x:c>
      <x:c r="D4" s="18" t="str">
        <x:v>Loại</x:v>
      </x:c>
    </x:row>
    <x:row r="5" ht="64" customHeight="1">
      <x:c r="A5" s="14" t="str">
        <x:v>Phạm vi</x:v>
      </x:c>
      <x:c r="B5" s="14" t="str">
        <x:v>Giữ 1 role STUDENT; hồ sơ/bảng điểm, Dashboard, CTĐT/tree, Chat, Planner chuẩn/học vượt, What-if/ROI/mục tiêu ngược, Audit và theo dõi từng kỳ.</x:v>
      </x:c>
      <x:c r="C5" s="14" t="str">
        <x:v>PRD §3, US-01–13; Brief Target Audience</x:v>
      </x:c>
      <x:c r="D5" s="14" t="str">
        <x:v>Từ tài liệu</x:v>
      </x:c>
    </x:row>
    <x:row r="6" ht="77" customHeight="1">
      <x:c r="A6" s="22" t="str">
        <x:v>Công nghệ</x:v>
      </x:c>
      <x:c r="B6" s="22" t="str">
        <x:v>ReactJS + Vite + React Router; Java Spring Boot + Spring AI/Gemini; PostgreSQL + pgvector; Spring Security session cookie/CSRF; Docker Compose. Khóa version tương thích tại 1.2.</x:v>
      </x:c>
      <x:c r="C6" s="22" t="str">
        <x:v>Ngôn ngữ từ yêu cầu; lựa chọn thư viện của solution này</x:v>
      </x:c>
      <x:c r="D6" s="22" t="str">
        <x:v>Bổ sung triển khai</x:v>
      </x:c>
    </x:row>
    <x:row r="7" ht="77" customHeight="1">
      <x:c r="A7" s="14" t="str">
        <x:v>Một runtime</x:v>
      </x:c>
      <x:c r="B7" s="14" t="str">
        <x:v>Một web host, một ứng dụng Spring Boot, một database. AI và Academic là thư viện Java, không phải microservice. Thư mục theo người không tương đương service triển khai.</x:v>
      </x:c>
      <x:c r="C7" s="14" t="str">
        <x:v>Maven multi-module; solution</x:v>
      </x:c>
      <x:c r="D7" s="14" t="str">
        <x:v>Bổ sung triển khai</x:v>
      </x:c>
    </x:row>
    <x:row r="8" ht="77" customHeight="1">
      <x:c r="A8" s="22" t="str">
        <x:v>Frontend không vòng phụ thuộc</x:v>
      </x:c>
      <x:c r="B8" s="22" t="str">
        <x:v>TV3 export createStudentRoutes({api, ui}); TV2 mount routes và truyền API client/component. TV3 không import web host, không viết layout/auth/client thứ hai; mỗi gói có test riêng.</x:v>
      </x:c>
      <x:c r="C8" s="22" t="str">
        <x:v>Solution</x:v>
      </x:c>
      <x:c r="D8" s="22" t="str">
        <x:v>Bổ sung triển khai</x:v>
      </x:c>
    </x:row>
    <x:row r="9" ht="90" customHeight="1">
      <x:c r="A9" s="14" t="str">
        <x:v>Backend không vòng phụ thuộc</x:v>
      </x:c>
      <x:c r="B9" s="14" t="str">
        <x:v>Contracts chứa DTO và interface. TV1/TV4 chỉ phụ thuộc contracts. Boot của TV5 phụ thuộc AI/Academic/contracts và implement StudentContextProvider/ConversationStore. TV1 không import repository/controller của TV5.</x:v>
      </x:c>
      <x:c r="C9" s="14" t="str">
        <x:v>Solution</x:v>
      </x:c>
      <x:c r="D9" s="14" t="str">
        <x:v>Bổ sung triển khai</x:v>
      </x:c>
    </x:row>
    <x:row r="10" ht="103" customHeight="1">
      <x:c r="A10" s="22" t="str">
        <x:v>Contract gốc</x:v>
      </x:c>
      <x:c r="B10" s="22" t="str">
        <x:v>TV5 sở hữu tv5-platform/contracts gồm Java DTO/ports + OpenAPI V1 + fixture JSON. AcademicFacade: academic status, eligibility, generate/validate plan, simulate, retake, target, audit, reconcile. Mọi đổi schema qua PR; các bên dùng đọc, không cùng sửa.</x:v>
      </x:c>
      <x:c r="C10" s="22" t="str">
        <x:v>PRD FR-03–18; solution</x:v>
      </x:c>
      <x:c r="D10" s="22" t="str">
        <x:v>Bổ sung triển khai</x:v>
      </x:c>
    </x:row>
    <x:row r="11" ht="103" customHeight="1">
      <x:c r="A11" s="14" t="str">
        <x:v>Công cụ học vụ</x:v>
      </x:c>
      <x:c r="B11" s="14" t="str">
        <x:v>TV4 viết hàm Java nhận context + policy + mục tiêu; dùng BigDecimal, không DB/HTTP/LLM. Giữ scoring 40/25/20/15 từ PRD; hard constraints lọc trước scoring; greedy theo đồ thị có kiểm tra cuối. NO_PLAN_FOUND không phải chứng minh bài toán vô nghiệm.</x:v>
      </x:c>
      <x:c r="C11" s="14" t="str">
        <x:v>PRD §9, §13.1</x:v>
      </x:c>
      <x:c r="D11" s="14" t="str">
        <x:v>Từ tài liệu + lựa chọn thuật toán</x:v>
      </x:c>
    </x:row>
    <x:row r="12" ht="103" customHeight="1">
      <x:c r="A12" s="22" t="str">
        <x:v>Quy tắc demo</x:v>
      </x:c>
      <x:c r="B12" s="22" t="str">
        <x:v>Các ngưỡng/rule trong PRD được cấu hình và gắn DEMO_UNVERIFIED; không xem tên môn/số trong ảnh là dữ kiện sản xuất. Tài liệu cung cấp chưa chứng minh đó là quy chế HaUI chính thức. Missing data trả UNKNOWN. Audit không tự xác nhận tốt nghiệp thay trường.</x:v>
      </x:c>
      <x:c r="C12" s="22" t="str">
        <x:v>File nguồn chưa được duyệt; yêu cầu của người dùng</x:v>
      </x:c>
      <x:c r="D12" s="22" t="str">
        <x:v>Giới hạn nguồn</x:v>
      </x:c>
    </x:row>
    <x:row r="13" ht="103" customHeight="1">
      <x:c r="A13" s="14" t="str">
        <x:v>Dữ liệu</x:v>
      </x:c>
      <x:c r="B13" s="14" t="str">
        <x:v>TV5 giữ hồ sơ/CTĐT/version/course/relation/offering/enrollment attempts, import session, audit requirements/actions, kế hoạch và chat. TV4 giữ fixture gốc cho test; TV5 seed DB từ cùng fixture, không tạo một bộ logic/fixture mâu thuẫn.</x:v>
      </x:c>
      <x:c r="C13" s="14" t="str">
        <x:v>PRD §8 là nền; bổ sung version, attempt, auth, import, audit evidence, chat</x:v>
      </x:c>
      <x:c r="D13" s="14" t="str">
        <x:v>Từ tài liệu + bổ sung</x:v>
      </x:c>
    </x:row>
    <x:row r="14" ht="90" customHeight="1">
      <x:c r="A14" s="22" t="str">
        <x:v>Nhập bảng điểm</x:v>
      </x:c>
      <x:c r="B14" s="22" t="str">
        <x:v>PDF có text: parser. Ảnh/PDF scan: OCR adapter. Chỉ lưu sau màn review/confirm; lỗi cho nhập tay. Cần bảo toàn tên/mã môn không chắc chắn thành mục cần sửa. Không đăng nhập hoặc crawl e-HaUI.</x:v>
      </x:c>
      <x:c r="C14" s="22" t="str">
        <x:v>UI Flow luồng A; PRD FR-02/out of scope</x:v>
      </x:c>
      <x:c r="D14" s="22" t="str">
        <x:v>Từ tài liệu + cơ chế xử lý</x:v>
      </x:c>
    </x:row>
    <x:row r="15" ht="103" customHeight="1">
      <x:c r="A15" s="14" t="str">
        <x:v>Kế hoạch</x:v>
      </x:c>
      <x:c r="B15" s="14" t="str">
        <x:v>Giữ DRAFT→VALIDATED→ACTIVE→COMPLETED/ARCHIVED. Cho lưu bản nháp chưa hợp lệ về học vụ; sửa nội dung hủy validation; ACTIVE revalidate trên revision hiện tại. Một ACTIVE/sinh viên; sửa ACTIVE tạo DRAFT kế thừa; áp dụng mới archive bản cũ trong transaction.</x:v>
      </x:c>
      <x:c r="C15" s="14" t="str">
        <x:v>PRD §13.2 giữ tên; hành vi lưu nháp/version/1 ACTIVE do solution này bổ sung</x:v>
      </x:c>
      <x:c r="D15" s="14" t="str">
        <x:v>Điểm thay đổi cần biết</x:v>
      </x:c>
    </x:row>
    <x:row r="16" ht="90" customHeight="1">
      <x:c r="A16" s="22" t="str">
        <x:v>What-if và Audit</x:v>
      </x:c>
      <x:c r="B16" s="22" t="str">
        <x:v>Xem thử không sửa bảng điểm/ACTIVE. Áp dụng→Planner→xem lại→lưu. Chứng chỉ/chuẩn đầu ra là action trong kế hoạch, không biến thành môn có tín chỉ. Không có thông tin trả UNKNOWN; trạng thái tương lai có nhãn dự kiến.</x:v>
      </x:c>
      <x:c r="C16" s="22" t="str">
        <x:v>UI Flow màn 5–9 + solution</x:v>
      </x:c>
      <x:c r="D16" s="22" t="str">
        <x:v>Từ tài liệu + hành vi cụ thể</x:v>
      </x:c>
    </x:row>
    <x:row r="17" ht="116" customHeight="1">
      <x:c r="A17" s="14" t="str">
        <x:v>AI</x:v>
      </x:c>
      <x:c r="B17" s="14" t="str">
        <x:v>TV1: RAG→công cụ học vụ→giải thích có nguồn/action/proposal. StudentContext lấy từ server, không tin student_id LLM/client. Không expose tool ghi điểm/activate. RAG dùng tài liệu dùng chung; không đưa bảng điểm vào vector store chung. JSON chat trước; không buộc làm WebSocket.</x:v>
      </x:c>
      <x:c r="C17" s="14" t="str">
        <x:v>Brief Solution; PRD FR-05–07; Spring AI docs</x:v>
      </x:c>
      <x:c r="D17" s="14" t="str">
        <x:v>Từ tài liệu + lựa chọn triển khai</x:v>
      </x:c>
    </x:row>
    <x:row r="18" ht="103" customHeight="1">
      <x:c r="A18" s="22" t="str">
        <x:v>Ngoài luồng chính</x:v>
      </x:c>
      <x:c r="B18" s="22" t="str">
        <x:v>Báo cáo cá nhân dùng print CSS/in PDF theo ảnh Audit; không bổ sung ký số/diễn đàn đánh giá hai chiều/voice/đăng ký môn trên e-HaUI. Thông tin giảng viên/đánh giá trong tra cứu chỉ hiển thị nếu có dữ liệu, không tạo hệ thống cộng đồng mới.</x:v>
      </x:c>
      <x:c r="C18" s="22" t="str">
        <x:v>Ảnh luồng Audit; UI Flow B; PRD out of scope và future enhancements</x:v>
      </x:c>
      <x:c r="D18" s="22" t="str">
        <x:v>Phân tách phạm vi bản này</x:v>
      </x:c>
    </x:row>
    <x:row r="19" ht="90" customHeight="1">
      <x:c r="A19" s="14" t="str">
        <x:v>Bàn giao</x:v>
      </x:c>
      <x:c r="B19" s="14" t="str">
        <x:v>Một task xong = code/artifact đã merge + test thuộc phạm vi chạy + input/output/cách chạy rõ. Xong mock không bằng đã tích hợp. Thiếu key/tài liệu chính thức/test live ghi chưa kiểm thử, không dựng số PASS.</x:v>
      </x:c>
      <x:c r="C19" s="14" t="str">
        <x:v>Solution quy trình</x:v>
      </x:c>
      <x:c r="D19" s="14" t="str">
        <x:v>Quy trình</x:v>
      </x:c>
    </x:row>
    <x:row r="20" ht="90" customHeight="1">
      <x:c r="A20" s="22" t="str">
        <x:v>Không đụng code</x:v>
      </x:c>
      <x:c r="B20" s="22" t="str">
        <x:v>Một role một folder. Root files/lockfile/migration/contracts chỉ TV5 ghi; TV5 chỉ được scaffold folder khác tại 1.2 trước handoff. Sau đó sửa đúng folder, các thay đổi liên quan phải được consumer review và integration test.</x:v>
      </x:c>
      <x:c r="C20" s="22" t="str">
        <x:v>Solution quy trình</x:v>
      </x:c>
      <x:c r="D20" s="22" t="str">
        <x:v>Quy trình</x:v>
      </x:c>
    </x:row>
  </x:sheetData>
  <x:mergeCells>
    <x:mergeCell ref="A1:D1"/>
    <x:mergeCell ref="A2:D2"/>
  </x:mergeCells>
  <x:pageMargins left="0.7" right="0.7" top="0.75" bottom="0.75" header="0.3" footer="0.3"/>
  <x:tableParts count="1">
    <x:tablePart xmlns:r="http://schemas.openxmlformats.org/officeDocument/2006/relationships" r:id="R58b7651298264ee5"/>
  </x:tableParts>
</x:worksheet>
</file>

<file path=xl/worksheets/sheet6.xml><?xml version="1.0" encoding="utf-8"?>
<x:worksheet xmlns:x="http://schemas.openxmlformats.org/spreadsheetml/2006/main">
  <x:sheetFormatPr defaultRowHeight="15"/>
  <x:cols>
    <x:col min="1" max="1" width="14" hidden="0" customWidth="1"/>
    <x:col min="2" max="2" width="80" hidden="0" customWidth="1"/>
  </x:cols>
  <x:sheetData>
    <x:row r="1" ht="32" customHeight="1">
      <x:c r="A1" s="4" t="str">
        <x:v>PHÂN CÔNG GỐC</x:v>
      </x:c>
      <x:c r="B1" s="4"/>
    </x:row>
    <x:row r="2" ht="34" customHeight="1">
      <x:c r="A2" s="10" t="str">
        <x:v>Giữ nguyên nội dung trong workbook người dùng, gồm nhiệm vụ viết quyển báo cáo của TV2 và TV3.</x:v>
      </x:c>
      <x:c r="B2" s="10"/>
    </x:row>
    <x:row r="4" ht="30" customHeight="1">
      <x:c r="A4" s="18" t="str">
        <x:v>Thành viên</x:v>
      </x:c>
      <x:c r="B4" s="18" t="str">
        <x:v>Nội dung công việc gốc</x:v>
      </x:c>
    </x:row>
    <x:row r="5" ht="64" customHeight="1">
      <x:c r="A5" s="14" t="str">
        <x:v>TV1</x:v>
      </x:c>
      <x:c r="B5" s="14" t="str">
        <x:v>Tech Lead, Product/Project Manager và AI Engineer; phân tích yêu cầu, thiết kế kiến trúc và contract hệ thống; xây dựng AI Advisor, RAG, agent orchestration và tool calling; đánh giá AI; review code, quản lý tiến độ và tích hợp toàn hệ thống.</x:v>
      </x:c>
    </x:row>
    <x:row r="6" ht="51" customHeight="1">
      <x:c r="A6" s="22" t="str">
        <x:v>TV2</x:v>
      </x:c>
      <x:c r="B6" s="22" t="str">
        <x:v>Frontend Engineer phụ trách nền tảng giao diện, design system, Dashboard, kết quả học tập, tiến độ học tập và chương trình đào tạo; tích hợp các API tương ứng.Viết quyển báo cáo</x:v>
      </x:c>
    </x:row>
    <x:row r="7" ht="51" customHeight="1">
      <x:c r="A7" s="14" t="str">
        <x:v>TV3</x:v>
      </x:c>
      <x:c r="B7" s="14" t="str">
        <x:v>Frontend Engineer phụ trách Study Planner, Recommendation UI, AI Advisor/Chat UI và Profile; tích hợp API, xử lý trạng thái và kiểm thử luồng người dùng.Viết quyển báo cáo</x:v>
      </x:c>
    </x:row>
    <x:row r="8" ht="51" customHeight="1">
      <x:c r="A8" s="22" t="str">
        <x:v>TV4</x:v>
      </x:c>
      <x:c r="B8" s="22" t="str">
        <x:v>Academic &amp; Recommendation Tool Engineer; xây dựng các công cụ xử lý GPA, tín chỉ, prerequisite, điều kiện học phần, tiến độ tốt nghiệp, recommendation và tối ưu kế hoạch học tập để AI Advisor sử dụng thông qua tool calling.</x:v>
      </x:c>
    </x:row>
    <x:row r="9" ht="51" customHeight="1">
      <x:c r="A9" s="14" t="str">
        <x:v>TV5</x:v>
      </x:c>
      <x:c r="B9" s="14" t="str">
        <x:v>Backend, Database &amp; DevOps Engineer; xây dựng REST API, Authentication, persistence layer, thiết kế và quản lý PostgreSQL, migration/seed data, tích hợp service, Docker, CI/CD và deployment.</x:v>
      </x:c>
    </x:row>
  </x:sheetData>
  <x:mergeCells>
    <x:mergeCell ref="A1:B1"/>
    <x:mergeCell ref="A2:B2"/>
  </x:mergeCells>
  <x:pageMargins left="0.7" right="0.7" top="0.75" bottom="0.75" header="0.3" footer="0.3"/>
  <x:tableParts count="1">
    <x:tablePart xmlns:r="http://schemas.openxmlformats.org/officeDocument/2006/relationships" r:id="R37ef14269cc543fc"/>
  </x:tableParts>
</x:worksheet>
</file>

<file path=xl/worksheets/sheet7.xml><?xml version="1.0" encoding="utf-8"?>
<x:worksheet xmlns:x="http://schemas.openxmlformats.org/spreadsheetml/2006/main">
  <x:sheetFormatPr defaultRowHeight="15"/>
  <x:cols>
    <x:col min="1" max="1" width="8" hidden="0" customWidth="1"/>
    <x:col min="2" max="2" width="23" hidden="0" customWidth="1"/>
    <x:col min="3" max="3" width="40" hidden="0" customWidth="1"/>
    <x:col min="4" max="4" width="30" hidden="0" customWidth="1"/>
    <x:col min="5" max="5" width="40" hidden="0" customWidth="1"/>
    <x:col min="6" max="6" width="35" hidden="0" customWidth="1"/>
  </x:cols>
  <x:sheetData>
    <x:row r="1" ht="32" customHeight="1">
      <x:c r="A1" s="4" t="str">
        <x:v>NGUỒN VÀ GIỚI HẠN</x:v>
      </x:c>
      <x:c r="B1" s="4"/>
      <x:c r="C1" s="4"/>
      <x:c r="D1" s="4"/>
      <x:c r="E1" s="4"/>
      <x:c r="F1" s="4"/>
    </x:row>
    <x:row r="2" ht="34" customHeight="1">
      <x:c r="A2" s="10" t="str">
        <x:v>Không dùng nội dung nháp làm bằng chứng quy chế chính thức hoặc kết quả triển khai đã chạy.</x:v>
      </x:c>
      <x:c r="B2" s="10"/>
      <x:c r="C2" s="10"/>
      <x:c r="D2" s="10"/>
      <x:c r="E2" s="10"/>
      <x:c r="F2" s="10"/>
    </x:row>
    <x:row r="4" ht="30" customHeight="1">
      <x:c r="A4" s="18" t="str">
        <x:v>Mã</x:v>
      </x:c>
      <x:c r="B4" s="18" t="str">
        <x:v>Nguồn</x:v>
      </x:c>
      <x:c r="C4" s="18" t="str">
        <x:v>File / URL</x:v>
      </x:c>
      <x:c r="D4" s="18" t="str">
        <x:v>Phần sử dụng</x:v>
      </x:c>
      <x:c r="E4" s="18" t="str">
        <x:v>Căn cứ</x:v>
      </x:c>
      <x:c r="F4" s="18" t="str">
        <x:v>Giới hạn</x:v>
      </x:c>
    </x:row>
    <x:row r="5" ht="38" customHeight="1">
      <x:c r="A5" s="14" t="str">
        <x:v>S1</x:v>
      </x:c>
      <x:c r="B5" s="14" t="str">
        <x:v>Phân công gốc</x:v>
      </x:c>
      <x:c r="C5" s="14" t="str">
        <x:v>Phan_cong_HaUI_Advisor(1).xlsx</x:v>
      </x:c>
      <x:c r="D5" s="14" t="str">
        <x:v>Sheet Phân công!A4:B8</x:v>
      </x:c>
      <x:c r="E5" s="14" t="str">
        <x:v>TV1–TV5; TV2/TV3 có nhiệm vụ viết quyển báo cáo.</x:v>
      </x:c>
      <x:c r="F5" s="14" t="str">
        <x:v>Tệp đính kèm</x:v>
      </x:c>
    </x:row>
    <x:row r="6" ht="38" customHeight="1">
      <x:c r="A6" s="22" t="str">
        <x:v>S2</x:v>
      </x:c>
      <x:c r="B6" s="22" t="str">
        <x:v>Brief</x:v>
      </x:c>
      <x:c r="C6" s="22" t="str">
        <x:v>Page Brief - HAUI ADVISOR(1).docx</x:v>
      </x:c>
      <x:c r="D6" s="22" t="str">
        <x:v>Target Audience; Solution</x:v>
      </x:c>
      <x:c r="E6" s="22" t="str">
        <x:v>Một Student, AI + RAG + Rule Engine, lưu và theo dõi.</x:v>
      </x:c>
      <x:c r="F6" s="22" t="str">
        <x:v>Tệp đính kèm</x:v>
      </x:c>
    </x:row>
    <x:row r="7" ht="38" customHeight="1">
      <x:c r="A7" s="14" t="str">
        <x:v>S3</x:v>
      </x:c>
      <x:c r="B7" s="14" t="str">
        <x:v>PRD</x:v>
      </x:c>
      <x:c r="C7" s="14" t="str">
        <x:v>PRD-HAUI_ADVISOR(1).docx</x:v>
      </x:c>
      <x:c r="D7" s="14" t="str">
        <x:v>§3–10; §13</x:v>
      </x:c>
      <x:c r="E7" s="14" t="str">
        <x:v>Scope, US/FR, model, policy demo, scoring, state machine.</x:v>
      </x:c>
      <x:c r="F7" s="14" t="str">
        <x:v>Tệp đính kèm; chưa xem là quy chế chính thức</x:v>
      </x:c>
    </x:row>
    <x:row r="8" ht="38" customHeight="1">
      <x:c r="A8" s="22" t="str">
        <x:v>S4</x:v>
      </x:c>
      <x:c r="B8" s="22" t="str">
        <x:v>UI Flow</x:v>
      </x:c>
      <x:c r="C8" s="22" t="str">
        <x:v>HAUI_ADVISOR_UI_FLOW(1).md</x:v>
      </x:c>
      <x:c r="D8" s="22" t="str">
        <x:v>Màn 1–9, luồng A/B, xử lý lỗi</x:v>
      </x:c>
      <x:c r="E8" s="22" t="str">
        <x:v>Đường đi, input bảng điểm, What-if/Audit→Planner.</x:v>
      </x:c>
      <x:c r="F8" s="22" t="str">
        <x:v>Tệp đính kèm</x:v>
      </x:c>
    </x:row>
    <x:row r="9" ht="51" customHeight="1">
      <x:c r="A9" s="14" t="str">
        <x:v>S5</x:v>
      </x:c>
      <x:c r="B9" s="14" t="str">
        <x:v>Ảnh UI Flow</x:v>
      </x:c>
      <x:c r="C9" s="14" t="str">
        <x:v>1790235796751_2381482604274817039_g1449798126663679773_2948c429f4b6439145e44359aeb6a598(1).jpg</x:v>
      </x:c>
      <x:c r="D9" s="14" t="str">
        <x:v>3 luồng chính; A–D</x:v>
      </x:c>
      <x:c r="E9" s="14" t="str">
        <x:v>Ảnh nháp; nội dung ví dụ không là dữ liệu production.</x:v>
      </x:c>
      <x:c r="F9" s="14" t="str">
        <x:v>Tệp đính kèm</x:v>
      </x:c>
    </x:row>
    <x:row r="10" ht="38" customHeight="1">
      <x:c r="A10" s="22" t="str">
        <x:v>S6</x:v>
      </x:c>
      <x:c r="B10" s="22" t="str">
        <x:v>Spring AI Tools</x:v>
      </x:c>
      <x:c r="C10" s="22" t="str">
        <x:v>https://docs.spring.io/spring-ai/reference/api/tools.html</x:v>
      </x:c>
      <x:c r="D10" s="22" t="str">
        <x:v>Tool calling/ToolContext</x:v>
      </x:c>
      <x:c r="E10" s="22" t="str">
        <x:v>Cơ sở kỹ thuật cho adapter; không nguồn nghiệp vụ HaUI.</x:v>
      </x:c>
      <x:c r="F10" s="22" t="str">
        <x:v>Tài liệu chính thức</x:v>
      </x:c>
    </x:row>
    <x:row r="11" ht="38" customHeight="1">
      <x:c r="A11" s="14" t="str">
        <x:v>S7</x:v>
      </x:c>
      <x:c r="B11" s="14" t="str">
        <x:v>Spring AI Gemini</x:v>
      </x:c>
      <x:c r="C11" s="14" t="str">
        <x:v>https://docs.spring.io/spring-ai/reference/api/chat/google-genai-chat.html</x:v>
      </x:c>
      <x:c r="D11" s="14" t="str">
        <x:v>Google GenAI Chat</x:v>
      </x:c>
      <x:c r="E11" s="14" t="str">
        <x:v>Provider cho solution Java AI.</x:v>
      </x:c>
      <x:c r="F11" s="14" t="str">
        <x:v>Tài liệu chính thức</x:v>
      </x:c>
    </x:row>
    <x:row r="12" ht="38" customHeight="1">
      <x:c r="A12" s="22" t="str">
        <x:v>S8</x:v>
      </x:c>
      <x:c r="B12" s="22" t="str">
        <x:v>Spring AI pgvector</x:v>
      </x:c>
      <x:c r="C12" s="22" t="str">
        <x:v>https://docs.spring.io/spring-ai/reference/api/vectordbs/pgvector.html</x:v>
      </x:c>
      <x:c r="D12" s="22" t="str">
        <x:v>PgVectorStore</x:v>
      </x:c>
      <x:c r="E12" s="22" t="str">
        <x:v>Kho tìm kiếm tài liệu.</x:v>
      </x:c>
      <x:c r="F12" s="22" t="str">
        <x:v>Tài liệu chính thức</x:v>
      </x:c>
    </x:row>
    <x:row r="13" ht="38" customHeight="1">
      <x:c r="A13" s="14" t="str">
        <x:v>S9</x:v>
      </x:c>
      <x:c r="B13" s="14" t="str">
        <x:v>Maven modules</x:v>
      </x:c>
      <x:c r="C13" s="14" t="str">
        <x:v>https://maven.apache.org/guides/mini/guide-multiple-modules.html</x:v>
      </x:c>
      <x:c r="D13" s="14" t="str">
        <x:v>Reactor</x:v>
      </x:c>
      <x:c r="E13" s="14" t="str">
        <x:v>Build nhiều module, một Boot runtime.</x:v>
      </x:c>
      <x:c r="F13" s="14" t="str">
        <x:v>Tài liệu chính thức</x:v>
      </x:c>
    </x:row>
    <x:row r="14" ht="38" customHeight="1">
      <x:c r="A14" s="22" t="str">
        <x:v>S10</x:v>
      </x:c>
      <x:c r="B14" s="22" t="str">
        <x:v>npm workspaces</x:v>
      </x:c>
      <x:c r="C14" s="22" t="str">
        <x:v>https://docs.npmjs.com/cli/v11/using-npm/workspaces/</x:v>
      </x:c>
      <x:c r="D14" s="22" t="str">
        <x:v>Workspaces</x:v>
      </x:c>
      <x:c r="E14" s="22" t="str">
        <x:v>Web host + feature package trong repo chung.</x:v>
      </x:c>
      <x:c r="F14" s="22" t="str">
        <x:v>Tài liệu chính thức</x:v>
      </x:c>
    </x:row>
    <x:row r="15" ht="38" customHeight="1">
      <x:c r="A15" s="14" t="str">
        <x:v>S11</x:v>
      </x:c>
      <x:c r="B15" s="14" t="str">
        <x:v>Git worktree</x:v>
      </x:c>
      <x:c r="C15" s="14" t="str">
        <x:v>https://git-scm.com/docs/git-worktree</x:v>
      </x:c>
      <x:c r="D15" s="14" t="str">
        <x:v>Multiple working trees</x:v>
      </x:c>
      <x:c r="E15" s="14" t="str">
        <x:v>Một working tree/branch riêng cho mỗi agent đang ghi code.</x:v>
      </x:c>
      <x:c r="F15" s="14" t="str">
        <x:v>Tài liệu chính thức</x:v>
      </x:c>
    </x:row>
  </x:sheetData>
  <x:mergeCells>
    <x:mergeCell ref="A1:F1"/>
    <x:mergeCell ref="A2:F2"/>
  </x:mergeCells>
  <x:pageMargins left="0.7" right="0.7" top="0.75" bottom="0.75" header="0.3" footer="0.3"/>
  <x:tableParts count="1">
    <x:tablePart xmlns:r="http://schemas.openxmlformats.org/officeDocument/2006/relationships" r:id="Re41b40fe59494152"/>
  </x:tableParts>
</x:worksheet>
</file>